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Resumen" sheetId="2" state="visible" r:id="rId4"/>
    <sheet name="Notas" sheetId="3" state="visible" r:id="rId5"/>
  </sheets>
  <definedNames>
    <definedName function="false" hidden="true" localSheetId="0" name="_xlnm._FilterDatabase" vbProcedure="false">Backlog!$A$1:$K$137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<sst xmlns="http://schemas.openxmlformats.org/spreadsheetml/2006/main" count="1412" uniqueCount="696">
  <si>
    <t xml:space="preserve">Release</t>
  </si>
  <si>
    <t xml:space="preserve">Épica</t>
  </si>
  <si>
    <t xml:space="preserve">Nombre de épica</t>
  </si>
  <si>
    <t xml:space="preserve">ID</t>
  </si>
  <si>
    <t xml:space="preserve">Historia</t>
  </si>
  <si>
    <t xml:space="preserve">SP</t>
  </si>
  <si>
    <t xml:space="preserve">Criterio de aceptación</t>
  </si>
  <si>
    <t xml:space="preserve">Traza RN / INV</t>
  </si>
  <si>
    <t xml:space="preserve">Depende de</t>
  </si>
  <si>
    <t xml:space="preserve">Generación IA</t>
  </si>
  <si>
    <t xml:space="preserve">Prioridad</t>
  </si>
  <si>
    <t xml:space="preserve">R0 Fundación</t>
  </si>
  <si>
    <t xml:space="preserve">E01</t>
  </si>
  <si>
    <t xml:space="preserve">Plataforma y entornos</t>
  </si>
  <si>
    <t xml:space="preserve">US-001</t>
  </si>
  <si>
    <t xml:space="preserve">Monorepo, CI y verificación estática</t>
  </si>
  <si>
    <t xml:space="preserve">El pipeline compila backend y frontend; LINT-003/004/005 bloquean la fusión; el esquema se ejecuta con cero errores en cada integración</t>
  </si>
  <si>
    <t xml:space="preserve">BR-05, BR-08</t>
  </si>
  <si>
    <t xml:space="preserve">—</t>
  </si>
  <si>
    <t xml:space="preserve">Permitida</t>
  </si>
  <si>
    <t xml:space="preserve">Crítica</t>
  </si>
  <si>
    <t xml:space="preserve">US-002</t>
  </si>
  <si>
    <t xml:space="preserve">Entornos dev, staging y producción con gestión de secretos</t>
  </si>
  <si>
    <t xml:space="preserve">Tres entornos aislados; ningún secreto en repositorio; rotación documentada</t>
  </si>
  <si>
    <t xml:space="preserve">RN-223</t>
  </si>
  <si>
    <t xml:space="preserve">US-003</t>
  </si>
  <si>
    <t xml:space="preserve">Datos semilla anonimizados para entornos no productivos</t>
  </si>
  <si>
    <t xml:space="preserve">Ningún entorno distinto de producción contiene datos personales reales</t>
  </si>
  <si>
    <t xml:space="preserve">Alta</t>
  </si>
  <si>
    <t xml:space="preserve">US-004</t>
  </si>
  <si>
    <t xml:space="preserve">Presupuesto de rendimiento y matriz de compatibilidad en CI</t>
  </si>
  <si>
    <t xml:space="preserve">Falla la integración si LCP supera 2,5 s o el bundle inicial supera 200 KB</t>
  </si>
  <si>
    <t xml:space="preserve">RN-211, RN-212</t>
  </si>
  <si>
    <t xml:space="preserve">E02</t>
  </si>
  <si>
    <t xml:space="preserve">Esquema y migraciones</t>
  </si>
  <si>
    <t xml:space="preserve">US-005</t>
  </si>
  <si>
    <t xml:space="preserve">Migraciones 001 a 013: dominios, roles, mercado, identidad, cliente, sorteo, premio, registrables, orden, pago, ticket, sorteo ejecutado, resolución</t>
  </si>
  <si>
    <t xml:space="preserve">Se ejecutan en orden con cero errores; los roles existen antes de las revocaciones</t>
  </si>
  <si>
    <t xml:space="preserve">RN-219 a RN-222</t>
  </si>
  <si>
    <t xml:space="preserve">US-006</t>
  </si>
  <si>
    <t xml:space="preserve">Migraciones 014 a 026: controversias, contabilidad, liquidación, saldo, cumplimiento, protección, analítica, alarmas, auditoría, growth, acceso, particiones, semilla</t>
  </si>
  <si>
    <t xml:space="preserve">114 tablas creadas; 8 tipos de sorteo sembrados; cuentas contables por moneda</t>
  </si>
  <si>
    <t xml:space="preserve">RN-219, RN-14-bis</t>
  </si>
  <si>
    <t xml:space="preserve">US-007</t>
  </si>
  <si>
    <t xml:space="preserve">Particionamiento y job de creación anticipada</t>
  </si>
  <si>
    <t xml:space="preserve">Particiones del mes siguiente creadas con 30 días de antelación; su ausencia genera alarma alta</t>
  </si>
  <si>
    <t xml:space="preserve">RN-222</t>
  </si>
  <si>
    <t xml:space="preserve">E03</t>
  </si>
  <si>
    <t xml:space="preserve">Identidad y autenticación</t>
  </si>
  <si>
    <t xml:space="preserve">US-008</t>
  </si>
  <si>
    <t xml:space="preserve">Registro con unicidad de documento, correo y teléfono</t>
  </si>
  <si>
    <t xml:space="preserve">Un documento corresponde a un solo usuario activo; el intento duplicado genera evento de riesgo</t>
  </si>
  <si>
    <t xml:space="preserve">INV-08, RN-115</t>
  </si>
  <si>
    <t xml:space="preserve">US-009</t>
  </si>
  <si>
    <t xml:space="preserve">Verificación de contacto y declaración de edad</t>
  </si>
  <si>
    <t xml:space="preserve">Registro rechazado si es menor; documento bloqueado permanentemente</t>
  </si>
  <si>
    <t xml:space="preserve">RN-119</t>
  </si>
  <si>
    <t xml:space="preserve">US-010</t>
  </si>
  <si>
    <t xml:space="preserve">Autenticación con testigo portable y renovación rotatoria</t>
  </si>
  <si>
    <t xml:space="preserve">Nunca solo por cookie; la reutilización revoca la familia y genera evento de riesgo</t>
  </si>
  <si>
    <t xml:space="preserve">RN-213</t>
  </si>
  <si>
    <t xml:space="preserve">US-011</t>
  </si>
  <si>
    <t xml:space="preserve">Verificación de identidad con prueba de vida antes de la primera compra</t>
  </si>
  <si>
    <t xml:space="preserve">Sin verificación no hay compra; la navegación no se bloquea</t>
  </si>
  <si>
    <t xml:space="preserve">RN-116, RN-117, RN-003</t>
  </si>
  <si>
    <t xml:space="preserve">US-012</t>
  </si>
  <si>
    <t xml:space="preserve">Vigencia documental con aviso y bloqueo parcial</t>
  </si>
  <si>
    <t xml:space="preserve">Aviso a 30 días; con documento vencido puede reclamar premios y usar saldo, no comprar</t>
  </si>
  <si>
    <t xml:space="preserve">RN-124, RN-125</t>
  </si>
  <si>
    <t xml:space="preserve">E04</t>
  </si>
  <si>
    <t xml:space="preserve">Control de acceso y separación de funciones</t>
  </si>
  <si>
    <t xml:space="preserve">US-013</t>
  </si>
  <si>
    <t xml:space="preserve">Motor de subroles con 21 subroles y asignación auditable</t>
  </si>
  <si>
    <t xml:space="preserve">Toda asignación registra actor y motivo; MFA obligatorio en subroles internos</t>
  </si>
  <si>
    <t xml:space="preserve">RN-05, RN-06</t>
  </si>
  <si>
    <t xml:space="preserve">US-014</t>
  </si>
  <si>
    <t xml:space="preserve">Incompatibilidades de asignación INC-01 a INC-05 e INC-11</t>
  </si>
  <si>
    <t xml:space="preserve">Asignar un subrol incompatible devuelve ERR_RBAC_INCOMPATIBLE_SUBROLE</t>
  </si>
  <si>
    <t xml:space="preserve">INC-01 a INC-05, INC-11</t>
  </si>
  <si>
    <t xml:space="preserve">**Prohibida**</t>
  </si>
  <si>
    <t xml:space="preserve">US-015</t>
  </si>
  <si>
    <t xml:space="preserve">Incompatibilidades de ejecución INC-06 a INC-10 y segunda firma</t>
  </si>
  <si>
    <t xml:space="preserve">Quien valoró no atesta; quien atestó no adjudica; la segunda firma exige otra persona y otro subrol</t>
  </si>
  <si>
    <t xml:space="preserve">INC-06 a INC-10</t>
  </si>
  <si>
    <t xml:space="preserve">E05</t>
  </si>
  <si>
    <t xml:space="preserve">Observabilidad y auditoría</t>
  </si>
  <si>
    <t xml:space="preserve">US-016</t>
  </si>
  <si>
    <t xml:space="preserve">Traza extremo a extremo y consulta por identificador</t>
  </si>
  <si>
    <t xml:space="preserve">La consulta por traza reconstruye la línea de tiempo completa</t>
  </si>
  <si>
    <t xml:space="preserve">RN-205</t>
  </si>
  <si>
    <t xml:space="preserve">US-017</t>
  </si>
  <si>
    <t xml:space="preserve">Auditoría inmutable con encadenamiento por hash</t>
  </si>
  <si>
    <t xml:space="preserve">Sin UPDATE ni DELETE para la aplicación; acciones críticas encadenadas</t>
  </si>
  <si>
    <t xml:space="preserve">RN-203</t>
  </si>
  <si>
    <t xml:space="preserve">US-018</t>
  </si>
  <si>
    <t xml:space="preserve">Cola de emergencia de auditoría y bandeja de salida</t>
  </si>
  <si>
    <t xml:space="preserve">Un fallo de auditoría nunca revierte un cobro exitoso; el evento entra en cola con alarma</t>
  </si>
  <si>
    <t xml:space="preserve">RN-204</t>
  </si>
  <si>
    <t xml:space="preserve">E06</t>
  </si>
  <si>
    <t xml:space="preserve">Configuración por mercado</t>
  </si>
  <si>
    <t xml:space="preserve">US-019</t>
  </si>
  <si>
    <t xml:space="preserve">market_config versionado con vigencia y aprobación</t>
  </si>
  <si>
    <t xml:space="preserve">Un sorteo se rige por la versión vigente el día de su publicación</t>
  </si>
  <si>
    <t xml:space="preserve">INV-15, RN-176</t>
  </si>
  <si>
    <t xml:space="preserve">US-020</t>
  </si>
  <si>
    <t xml:space="preserve">Interfaces con adaptador para identidad, pagos, comprobantes y registro</t>
  </si>
  <si>
    <t xml:space="preserve">La elección es dato; la integración es código</t>
  </si>
  <si>
    <t xml:space="preserve">RN-177, INV-29</t>
  </si>
  <si>
    <t xml:space="preserve">R1 Núcleo transaccional</t>
  </si>
  <si>
    <t xml:space="preserve">E07</t>
  </si>
  <si>
    <t xml:space="preserve">Dominio de sorteo y FSM</t>
  </si>
  <si>
    <t xml:space="preserve">US-021</t>
  </si>
  <si>
    <t xml:space="preserve">Máquina de estados única con punto de entrada exclusivo</t>
  </si>
  <si>
    <t xml:space="preserve">No existe otra ruta para cambiar el estado; toda transición valida subrol, guarda, motivo y segunda firma</t>
  </si>
  <si>
    <t xml:space="preserve">RN-09, RN-10</t>
  </si>
  <si>
    <t xml:space="preserve">US-006, US-015</t>
  </si>
  <si>
    <t xml:space="preserve">US-022</t>
  </si>
  <si>
    <t xml:space="preserve">Registro de transiciones y publicación de eventos</t>
  </si>
  <si>
    <t xml:space="preserve">Cada transición registra actor, motivo, traza y sello de servidor; publica en la bandeja de salida</t>
  </si>
  <si>
    <t xml:space="preserve">RN-09, RN-202</t>
  </si>
  <si>
    <t xml:space="preserve">E08</t>
  </si>
  <si>
    <t xml:space="preserve">Tipos T1 a T8 y capacidades</t>
  </si>
  <si>
    <t xml:space="preserve">US-023</t>
  </si>
  <si>
    <t xml:space="preserve">Semilla de los ocho tipos y restricciones de coherencia</t>
  </si>
  <si>
    <t xml:space="preserve">T8 exige tipo base y ningún otro lo admite; T2 exige umbral; T3 y T5 exigen cierre</t>
  </si>
  <si>
    <t xml:space="preserve">RN-14-bis, RN-14-ter</t>
  </si>
  <si>
    <t xml:space="preserve">US-024</t>
  </si>
  <si>
    <t xml:space="preserve">Capacidades por cliente y por mercado</t>
  </si>
  <si>
    <t xml:space="preserve">Un tipo deshabilitado no aparece en el asistente de creación</t>
  </si>
  <si>
    <t xml:space="preserve">RN-12, BR-07</t>
  </si>
  <si>
    <t xml:space="preserve">E09</t>
  </si>
  <si>
    <t xml:space="preserve">Premio y gate de valoración</t>
  </si>
  <si>
    <t xml:space="preserve">US-025</t>
  </si>
  <si>
    <t xml:space="preserve">Categorías de premio y checklist de evidencia por categoría</t>
  </si>
  <si>
    <t xml:space="preserve">Lista cerrada por categoría; sin campo otros</t>
  </si>
  <si>
    <t xml:space="preserve">RN-15 a RN-17</t>
  </si>
  <si>
    <t xml:space="preserve">US-026</t>
  </si>
  <si>
    <t xml:space="preserve">Regla de desviación automática y bandas de aprobación</t>
  </si>
  <si>
    <t xml:space="preserve">Desviación superior al 50 % produce rechazo automático no anulable</t>
  </si>
  <si>
    <t xml:space="preserve">RN-20 a RN-23</t>
  </si>
  <si>
    <t xml:space="preserve">US-027</t>
  </si>
  <si>
    <t xml:space="preserve">Código del día y verificación en imágenes</t>
  </si>
  <si>
    <t xml:space="preserve">Vigencia de 72 horas; su ausencia impide aprobar la valoración</t>
  </si>
  <si>
    <t xml:space="preserve">RN-24</t>
  </si>
  <si>
    <t xml:space="preserve">US-028</t>
  </si>
  <si>
    <t xml:space="preserve">Verificaciones externas: comprobante, identificador de equipo y referencias de mercado</t>
  </si>
  <si>
    <t xml:space="preserve">Referencias con antigüedad no mayor a 30 días, recalculada por job</t>
  </si>
  <si>
    <t xml:space="preserve">RN-19 (L3), §7.5 PRD</t>
  </si>
  <si>
    <t xml:space="preserve">US-020, US-026</t>
  </si>
  <si>
    <t xml:space="preserve">US-029</t>
  </si>
  <si>
    <t xml:space="preserve">Excepciones de valoración con segunda firma y reporte</t>
  </si>
  <si>
    <t xml:space="preserve">Motivo de al menos 50 caracteres; segunda firma de otra persona</t>
  </si>
  <si>
    <t xml:space="preserve">RN-22, INC-09</t>
  </si>
  <si>
    <t xml:space="preserve">US-026, US-015</t>
  </si>
  <si>
    <t xml:space="preserve">E10</t>
  </si>
  <si>
    <t xml:space="preserve">Catálogo, detalle y simulador</t>
  </si>
  <si>
    <t xml:space="preserve">US-030</t>
  </si>
  <si>
    <t xml:space="preserve">Sistema de diseño e implementación de tokens</t>
  </si>
  <si>
    <t xml:space="preserve">Tokens de L4; contraste AA verificado; composición probada al 150 % de longitud</t>
  </si>
  <si>
    <t xml:space="preserve">L4 §2, RN-181</t>
  </si>
  <si>
    <t xml:space="preserve">US-031</t>
  </si>
  <si>
    <t xml:space="preserve">Verified Opportunity Card con seis ranuras</t>
  </si>
  <si>
    <t xml:space="preserve">Sin costo, probabilidad y evidencia el componente no compila</t>
  </si>
  <si>
    <t xml:space="preserve">L4 §5.1, LINT-002</t>
  </si>
  <si>
    <t xml:space="preserve">US-032</t>
  </si>
  <si>
    <t xml:space="preserve">Catálogo y búsqueda con ordenamiento explicable</t>
  </si>
  <si>
    <t xml:space="preserve">Todo ordenamiento expone su criterio en una interacción</t>
  </si>
  <si>
    <t xml:space="preserve">RN-188, LINT-006</t>
  </si>
  <si>
    <t xml:space="preserve">US-033</t>
  </si>
  <si>
    <t xml:space="preserve">Detalle de oportunidad con bloque de decisión previo al CTA</t>
  </si>
  <si>
    <t xml:space="preserve">El CTA no se renderiza antes de que costo, probabilidad y pool hayan sido visibles</t>
  </si>
  <si>
    <t xml:space="preserve">L4 PU03-01, P1</t>
  </si>
  <si>
    <t xml:space="preserve">US-034</t>
  </si>
  <si>
    <t xml:space="preserve">Simulador público de recaudación sin registro</t>
  </si>
  <si>
    <t xml:space="preserve">Usa la fórmula real; muestra bruto, comisión, neto, tickets y plazo estimado hasta el cobro</t>
  </si>
  <si>
    <t xml:space="preserve">RN-39, RN-105</t>
  </si>
  <si>
    <t xml:space="preserve">E11</t>
  </si>
  <si>
    <t xml:space="preserve">Compra, idempotencia e inventario</t>
  </si>
  <si>
    <t xml:space="preserve">US-035</t>
  </si>
  <si>
    <t xml:space="preserve">Orden con clave de idempotencia provista por el cliente</t>
  </si>
  <si>
    <t xml:space="preserve">Dos compras legítimas idénticas separadas en el tiempo producen dos órdenes</t>
  </si>
  <si>
    <t xml:space="preserve">RN-52, RN-53</t>
  </si>
  <si>
    <t xml:space="preserve">US-036</t>
  </si>
  <si>
    <t xml:space="preserve">Reserva atómica de inventario y expiración</t>
  </si>
  <si>
    <t xml:space="preserve">Cincuenta solicitudes simultáneas por los últimos tres tickets emiten exactamente tres</t>
  </si>
  <si>
    <t xml:space="preserve">RN-54, RN-55</t>
  </si>
  <si>
    <t xml:space="preserve">US-037</t>
  </si>
  <si>
    <t xml:space="preserve">Límite de concentración y prohibición de autocompra</t>
  </si>
  <si>
    <t xml:space="preserve">Ningún participante supera el 30 %; el organizador no compra en su sorteo</t>
  </si>
  <si>
    <t xml:space="preserve">INV-13, RN-150</t>
  </si>
  <si>
    <t xml:space="preserve">US-038</t>
  </si>
  <si>
    <t xml:space="preserve">Superficie de compra con revisión previa y recuperación de estado</t>
  </si>
  <si>
    <t xml:space="preserve">El retroceso no pierde datos; al reconectar se recupera el estado real</t>
  </si>
  <si>
    <t xml:space="preserve">L4 CS-01, RN-218</t>
  </si>
  <si>
    <t xml:space="preserve">US-030, US-035</t>
  </si>
  <si>
    <t xml:space="preserve">US-039</t>
  </si>
  <si>
    <t xml:space="preserve">Importe mínimo por operación y validación ordenada</t>
  </si>
  <si>
    <t xml:space="preserve">El orden de validación va de prohibición absoluta a disponibilidad</t>
  </si>
  <si>
    <t xml:space="preserve">RN-42, §11.2 L3</t>
  </si>
  <si>
    <t xml:space="preserve">E12</t>
  </si>
  <si>
    <t xml:space="preserve">Pagos y conciliación</t>
  </si>
  <si>
    <t xml:space="preserve">US-040</t>
  </si>
  <si>
    <t xml:space="preserve">Adaptador de proveedor: preferencia, cobro y retorno</t>
  </si>
  <si>
    <t xml:space="preserve">Interfaz común; el mercado elige el adaptador</t>
  </si>
  <si>
    <t xml:space="preserve">RN-177</t>
  </si>
  <si>
    <t xml:space="preserve">US-020, US-035</t>
  </si>
  <si>
    <t xml:space="preserve">US-041</t>
  </si>
  <si>
    <t xml:space="preserve">Webhooks con firma, ventana anti repetición y deduplicación global</t>
  </si>
  <si>
    <t xml:space="preserve">El mismo evento en dos meses distintos se procesa una sola vez</t>
  </si>
  <si>
    <t xml:space="preserve">RN-57, RN-58</t>
  </si>
  <si>
    <t xml:space="preserve">US-042</t>
  </si>
  <si>
    <t xml:space="preserve">Monotonía de estado y cola de excepciones</t>
  </si>
  <si>
    <t xml:space="preserve">Un evento tardío no retrocede un estado avanzado</t>
  </si>
  <si>
    <t xml:space="preserve">RN-59, RN-60</t>
  </si>
  <si>
    <t xml:space="preserve">US-043</t>
  </si>
  <si>
    <t xml:space="preserve">Conciliación diaria con emparejamiento y plazo de resolución</t>
  </si>
  <si>
    <t xml:space="preserve">Toda excepción sin resolver genera alarma</t>
  </si>
  <si>
    <t xml:space="preserve">RN-47</t>
  </si>
  <si>
    <t xml:space="preserve">US-044</t>
  </si>
  <si>
    <t xml:space="preserve">Contracargos sin invalidación retroactiva de tickets</t>
  </si>
  <si>
    <t xml:space="preserve">Un contracargo no invalida tickets de un sorteo ya ejecutado</t>
  </si>
  <si>
    <t xml:space="preserve">RN-61 a RN-63</t>
  </si>
  <si>
    <t xml:space="preserve">E13</t>
  </si>
  <si>
    <t xml:space="preserve">Tickets y pool</t>
  </si>
  <si>
    <t xml:space="preserve">US-045</t>
  </si>
  <si>
    <t xml:space="preserve">Emisión con numeración correlativa al confirmar el pago</t>
  </si>
  <si>
    <t xml:space="preserve">No existe ticket emitido sin orden pagada; el contador nunca decrece</t>
  </si>
  <si>
    <t xml:space="preserve">INV-09, INV-11</t>
  </si>
  <si>
    <t xml:space="preserve">US-036, US-041</t>
  </si>
  <si>
    <t xml:space="preserve">US-046</t>
  </si>
  <si>
    <t xml:space="preserve">Mis tickets con probabilidad y aviso de independencia</t>
  </si>
  <si>
    <t xml:space="preserve">El aviso es persistente y no descartable</t>
  </si>
  <si>
    <t xml:space="preserve">RN-138, L4 §6.5</t>
  </si>
  <si>
    <t xml:space="preserve">US-045, US-030</t>
  </si>
  <si>
    <t xml:space="preserve">E14</t>
  </si>
  <si>
    <t xml:space="preserve">Motor de sorteo y verificación pública</t>
  </si>
  <si>
    <t xml:space="preserve">US-047</t>
  </si>
  <si>
    <t xml:space="preserve">Serialización canónica del pool con vectores de prueba</t>
  </si>
  <si>
    <t xml:space="preserve">Los cinco vectores de L3 §5.7 se reproducen exactamente</t>
  </si>
  <si>
    <t xml:space="preserve">RN-66</t>
  </si>
  <si>
    <t xml:space="preserve">US-048</t>
  </si>
  <si>
    <t xml:space="preserve">Compromiso con baliza de ronda futura y propiedad intrínseca</t>
  </si>
  <si>
    <t xml:space="preserve">Una ronda anterior a la publicación es rechazada por el esquema</t>
  </si>
  <si>
    <t xml:space="preserve">INV-18, INV-18-bis</t>
  </si>
  <si>
    <t xml:space="preserve">US-049</t>
  </si>
  <si>
    <t xml:space="preserve">Ejecución con selección sin reemplazo y unicidad</t>
  </si>
  <si>
    <t xml:space="preserve">Dos ejecuciones simultáneas: una persiste, la otra recibe error</t>
  </si>
  <si>
    <t xml:space="preserve">INV-19, RN-69 a RN-71</t>
  </si>
  <si>
    <t xml:space="preserve">US-050</t>
  </si>
  <si>
    <t xml:space="preserve">Verificación pública contra la fuente de baliza</t>
  </si>
  <si>
    <t xml:space="preserve">El verificador consulta la fuente directamente; implementación escrita por persona distinta</t>
  </si>
  <si>
    <t xml:space="preserve">RN-67, RN-67-bis</t>
  </si>
  <si>
    <t xml:space="preserve">US-051</t>
  </si>
  <si>
    <t xml:space="preserve">Página pública de prueba, indexable y sin identidad</t>
  </si>
  <si>
    <t xml:space="preserve">Muestra números de ticket; nunca identidad ni concentración</t>
  </si>
  <si>
    <t xml:space="preserve">RN-68, R-10</t>
  </si>
  <si>
    <t xml:space="preserve">US-050, US-030</t>
  </si>
  <si>
    <t xml:space="preserve">E15</t>
  </si>
  <si>
    <t xml:space="preserve">Contabilidad de partida doble</t>
  </si>
  <si>
    <t xml:space="preserve">US-052</t>
  </si>
  <si>
    <t xml:space="preserve">Plan de cuentas por moneda y función de asiento balanceado</t>
  </si>
  <si>
    <t xml:space="preserve">Un asiento descuadrado aborta la transacción completa</t>
  </si>
  <si>
    <t xml:space="preserve">INV-10, RN-43, RN-44</t>
  </si>
  <si>
    <t xml:space="preserve">US-053</t>
  </si>
  <si>
    <t xml:space="preserve">Transacciones canónicas T-01 a T-14 con impuesto incluido</t>
  </si>
  <si>
    <t xml:space="preserve">El neto del organizador es el 80 % sea cual sea el régimen tributario</t>
  </si>
  <si>
    <t xml:space="preserve">INV-34 a INV-36, RN-40-bis</t>
  </si>
  <si>
    <t xml:space="preserve">US-054</t>
  </si>
  <si>
    <t xml:space="preserve">Verificación diaria de los siete invariantes contables</t>
  </si>
  <si>
    <t xml:space="preserve">Toda divergencia genera alarma de severidad alta</t>
  </si>
  <si>
    <t xml:space="preserve">RN-48, L3 §6.4</t>
  </si>
  <si>
    <t xml:space="preserve">R2 Confianza y resolución</t>
  </si>
  <si>
    <t xml:space="preserve">E16</t>
  </si>
  <si>
    <t xml:space="preserve">Sala de resolución</t>
  </si>
  <si>
    <t xml:space="preserve">US-055</t>
  </si>
  <si>
    <t xml:space="preserve">Creación automática, participación y cola en solo lectura</t>
  </si>
  <si>
    <t xml:space="preserve">El organizador entra solo cuando el ganador reclama y consiente</t>
  </si>
  <si>
    <t xml:space="preserve">RN-72 a RN-74</t>
  </si>
  <si>
    <t xml:space="preserve">US-056</t>
  </si>
  <si>
    <t xml:space="preserve">Mensajes de solo agregación con secuencia global y cadena de hashes</t>
  </si>
  <si>
    <t xml:space="preserve">Una sala que cruza de mes no repite secuencia; la cadena permanece continua</t>
  </si>
  <si>
    <t xml:space="preserve">RN-75 a RN-77</t>
  </si>
  <si>
    <t xml:space="preserve">US-057</t>
  </si>
  <si>
    <t xml:space="preserve">Evidencia con hash, antivirus y direcciones firmadas</t>
  </si>
  <si>
    <t xml:space="preserve">Todo adjunto validado y almacenado con expiración corta</t>
  </si>
  <si>
    <t xml:space="preserve">RN-78</t>
  </si>
  <si>
    <t xml:space="preserve">US-058</t>
  </si>
  <si>
    <t xml:space="preserve">Minimización de datos y exportación forense firmada</t>
  </si>
  <si>
    <t xml:space="preserve">Nombre e inicial; nunca documento, correo ni teléfono</t>
  </si>
  <si>
    <t xml:space="preserve">RN-80, RN-82, RN-83</t>
  </si>
  <si>
    <t xml:space="preserve">E17</t>
  </si>
  <si>
    <t xml:space="preserve">Atestación y evidencia</t>
  </si>
  <si>
    <t xml:space="preserve">US-059</t>
  </si>
  <si>
    <t xml:space="preserve">Jerarquía de fuerza probatoria clasificada por el sistema</t>
  </si>
  <si>
    <t xml:space="preserve">La fuerza la determina la regla, no el agente</t>
  </si>
  <si>
    <t xml:space="preserve">L3 §3.7, RN-90</t>
  </si>
  <si>
    <t xml:space="preserve">US-060</t>
  </si>
  <si>
    <t xml:space="preserve">Atestación que alimenta el gate G2 sin mover dinero</t>
  </si>
  <si>
    <t xml:space="preserve">SUPPORT atesta un hecho; ningún rol completa solo la cadena al desembolso</t>
  </si>
  <si>
    <t xml:space="preserve">INV-07, INV-21</t>
  </si>
  <si>
    <t xml:space="preserve">US-059, US-015</t>
  </si>
  <si>
    <t xml:space="preserve">US-061</t>
  </si>
  <si>
    <t xml:space="preserve">Motor de plazos con pausas, extensiones y feriados</t>
  </si>
  <si>
    <t xml:space="preserve">Toda extensión se notifica a todos los participantes, no solo al ganador</t>
  </si>
  <si>
    <t xml:space="preserve">RN-86 a RN-89</t>
  </si>
  <si>
    <t xml:space="preserve">E18</t>
  </si>
  <si>
    <t xml:space="preserve">Controversias y adjudicación</t>
  </si>
  <si>
    <t xml:space="preserve">US-062</t>
  </si>
  <si>
    <t xml:space="preserve">Reclamo estructurado con motivo cerrado y evidencia obligatoria</t>
  </si>
  <si>
    <t xml:space="preserve">Sin motivo tipificado y sin evidencia no se abre controversia</t>
  </si>
  <si>
    <t xml:space="preserve">RN-92, L4 DF-01</t>
  </si>
  <si>
    <t xml:space="preserve">US-063</t>
  </si>
  <si>
    <t xml:space="preserve">Inversión de carga de la prueba y escalamiento</t>
  </si>
  <si>
    <t xml:space="preserve">Evidencia fuerte del organizador escala a adjudicación; ningún caso se resuelve por afirmación</t>
  </si>
  <si>
    <t xml:space="preserve">RN-90, RN-91, INV-22</t>
  </si>
  <si>
    <t xml:space="preserve">US-064</t>
  </si>
  <si>
    <t xml:space="preserve">Controles de canal: contacto externo y oferta monetaria</t>
  </si>
  <si>
    <t xml:space="preserve">El envío se bloquea con mensaje neutro y genera evento de riesgo</t>
  </si>
  <si>
    <t xml:space="preserve">RN-93, RN-94</t>
  </si>
  <si>
    <t xml:space="preserve">US-065</t>
  </si>
  <si>
    <t xml:space="preserve">Adjudicación motivada con reputación bidireccional</t>
  </si>
  <si>
    <t xml:space="preserve">Quien adjudica no atestó; el reclamo de mala fe penaliza al usuario</t>
  </si>
  <si>
    <t xml:space="preserve">INC-08, RN-95 a RN-99</t>
  </si>
  <si>
    <t xml:space="preserve">E19</t>
  </si>
  <si>
    <t xml:space="preserve">Liquidación y gates</t>
  </si>
  <si>
    <t xml:space="preserve">US-066</t>
  </si>
  <si>
    <t xml:space="preserve">Evaluación determinista de los seis gates</t>
  </si>
  <si>
    <t xml:space="preserve">Ninguna liquidación alcanza pagada sin los seis; impuesto por esquema</t>
  </si>
  <si>
    <t xml:space="preserve">INV-23, RN-101</t>
  </si>
  <si>
    <t xml:space="preserve">US-060, US-053</t>
  </si>
  <si>
    <t xml:space="preserve">US-067</t>
  </si>
  <si>
    <t xml:space="preserve">Retención por contracargo y reserva</t>
  </si>
  <si>
    <t xml:space="preserve">Reserva retenida hasta el vencimiento de la ventana extendida</t>
  </si>
  <si>
    <t xml:space="preserve">RN-103, RN-104</t>
  </si>
  <si>
    <t xml:space="preserve">US-068</t>
  </si>
  <si>
    <t xml:space="preserve">Ejecución de pago en lote y caso a caso con segunda firma</t>
  </si>
  <si>
    <t xml:space="preserve">Datos de cobro verificados y a nombre del titular del KYB</t>
  </si>
  <si>
    <t xml:space="preserve">RN-49 a RN-51</t>
  </si>
  <si>
    <t xml:space="preserve">US-067, US-015</t>
  </si>
  <si>
    <t xml:space="preserve">US-069</t>
  </si>
  <si>
    <t xml:space="preserve">Panel de liquidaciones con estado retenido, motivo y fecha</t>
  </si>
  <si>
    <t xml:space="preserve">El estado retenido siempre con motivo y fecha estimada</t>
  </si>
  <si>
    <t xml:space="preserve">RN-102, L4 ST-01</t>
  </si>
  <si>
    <t xml:space="preserve">US-068, US-030</t>
  </si>
  <si>
    <t xml:space="preserve">E20</t>
  </si>
  <si>
    <t xml:space="preserve">No entrega, re-sorteo y saldo</t>
  </si>
  <si>
    <t xml:space="preserve">US-070</t>
  </si>
  <si>
    <t xml:space="preserve">Rutas de resolución declaradas e inmutables</t>
  </si>
  <si>
    <t xml:space="preserve">La ruta la elige el organizador al crear y se publica en bases</t>
  </si>
  <si>
    <t xml:space="preserve">INV-24, RN-106</t>
  </si>
  <si>
    <t xml:space="preserve">US-071</t>
  </si>
  <si>
    <t xml:space="preserve">Plazos de reclamo por tramo de valor y cadencia de contacto</t>
  </si>
  <si>
    <t xml:space="preserve">7, 15 o 30 días según valor aprobado; cadencia comprimida por tramo</t>
  </si>
  <si>
    <t xml:space="preserve">RN-107, RN-111</t>
  </si>
  <si>
    <t xml:space="preserve">US-072</t>
  </si>
  <si>
    <t xml:space="preserve">Re-sorteo con compromiso nuevo, pool derivado y máximo uno</t>
  </si>
  <si>
    <t xml:space="preserve">Nuevo compromiso publicado 24 horas antes; excluye al ganador original</t>
  </si>
  <si>
    <t xml:space="preserve">RN-108, INV-25</t>
  </si>
  <si>
    <t xml:space="preserve">US-049, US-070</t>
  </si>
  <si>
    <t xml:space="preserve">US-073</t>
  </si>
  <si>
    <t xml:space="preserve">Saldo de reembolso con retiro por solicitud y KYC</t>
  </si>
  <si>
    <t xml:space="preserve">No expira, no admite carga voluntaria, computa como gasto</t>
  </si>
  <si>
    <t xml:space="preserve">INV-26, RN-109</t>
  </si>
  <si>
    <t xml:space="preserve">R3 Cumplimiento y protección</t>
  </si>
  <si>
    <t xml:space="preserve">E21</t>
  </si>
  <si>
    <t xml:space="preserve">Prevención financiera</t>
  </si>
  <si>
    <t xml:space="preserve">US-074</t>
  </si>
  <si>
    <t xml:space="preserve">Acumuladores multi ventana para usuario y organizador</t>
  </si>
  <si>
    <t xml:space="preserve">Día, mes, año y total; el saldo de reembolso computa</t>
  </si>
  <si>
    <t xml:space="preserve">RN-126, RN-141</t>
  </si>
  <si>
    <t xml:space="preserve">US-075</t>
  </si>
  <si>
    <t xml:space="preserve">Tramos con acreditación previa, no posterior</t>
  </si>
  <si>
    <t xml:space="preserve">La exigencia se solicita al alcanzar el tramo, antes de emitir tickets</t>
  </si>
  <si>
    <t xml:space="preserve">INV-27, RN-140</t>
  </si>
  <si>
    <t xml:space="preserve">US-076</t>
  </si>
  <si>
    <t xml:space="preserve">Expedientes con trazabilidad de la no decisión</t>
  </si>
  <si>
    <t xml:space="preserve">Concluir que no hay problema se documenta con motivo</t>
  </si>
  <si>
    <t xml:space="preserve">RN-144, RN-145</t>
  </si>
  <si>
    <t xml:space="preserve">US-077</t>
  </si>
  <si>
    <t xml:space="preserve">Reserva de comunicación sin revelar análisis</t>
  </si>
  <si>
    <t xml:space="preserve">Ningún texto revela análisis ni reporte; solo requerimiento documental</t>
  </si>
  <si>
    <t xml:space="preserve">RN-142, RN-143, L4 §7.5</t>
  </si>
  <si>
    <t xml:space="preserve">E22</t>
  </si>
  <si>
    <t xml:space="preserve">Protección del usuario</t>
  </si>
  <si>
    <t xml:space="preserve">US-078</t>
  </si>
  <si>
    <t xml:space="preserve">Autoexclusión irreversible durante el plazo</t>
  </si>
  <si>
    <t xml:space="preserve">Sin fricción ni retención comercial; conserva historial, premios y saldo</t>
  </si>
  <si>
    <t xml:space="preserve">RN-128 a RN-131</t>
  </si>
  <si>
    <t xml:space="preserve">US-079</t>
  </si>
  <si>
    <t xml:space="preserve">Límites autoimpuestos con asimetría impuesta por esquema</t>
  </si>
  <si>
    <t xml:space="preserve">Reducir aplica de inmediato; aumentar exige 24 horas</t>
  </si>
  <si>
    <t xml:space="preserve">RN-132 a RN-134</t>
  </si>
  <si>
    <t xml:space="preserve">US-080</t>
  </si>
  <si>
    <t xml:space="preserve">Panel de gasto neutro, fuera del proceso de compra</t>
  </si>
  <si>
    <t xml:space="preserve">No se muestra durante el checkout; texto no culpabilizante</t>
  </si>
  <si>
    <t xml:space="preserve">RN-135 a RN-137, L4 SP-02</t>
  </si>
  <si>
    <t xml:space="preserve">US-079, US-030</t>
  </si>
  <si>
    <t xml:space="preserve">US-081</t>
  </si>
  <si>
    <t xml:space="preserve">Protocolo de menor detectado con posterioridad</t>
  </si>
  <si>
    <t xml:space="preserve">Casuística por categoría; los tickets de sorteos ejecutados no se invalidan</t>
  </si>
  <si>
    <t xml:space="preserve">RN-120</t>
  </si>
  <si>
    <t xml:space="preserve">E23</t>
  </si>
  <si>
    <t xml:space="preserve">Riesgo y antifraude</t>
  </si>
  <si>
    <t xml:space="preserve">US-082</t>
  </si>
  <si>
    <t xml:space="preserve">Motor de reglas configurable con reglas como dato</t>
  </si>
  <si>
    <t xml:space="preserve">Las reglas son datos, no código; seis familias</t>
  </si>
  <si>
    <t xml:space="preserve">RN-146</t>
  </si>
  <si>
    <t xml:space="preserve">US-083</t>
  </si>
  <si>
    <t xml:space="preserve">Correlación de dispositivo, red y medio de pago compartido</t>
  </si>
  <si>
    <t xml:space="preserve">2 usuarios normal, 3 a 4 informativa, 5 o más media con revisión</t>
  </si>
  <si>
    <t xml:space="preserve">RN-121 a RN-123</t>
  </si>
  <si>
    <t xml:space="preserve">US-084</t>
  </si>
  <si>
    <t xml:space="preserve">Congelamiento de cuenta sin retener derechos</t>
  </si>
  <si>
    <t xml:space="preserve">El congelamiento no impide reclamar, reembolsar ni disponer del saldo</t>
  </si>
  <si>
    <t xml:space="preserve">RN-151, RN-152, RN-02</t>
  </si>
  <si>
    <t xml:space="preserve">E24</t>
  </si>
  <si>
    <t xml:space="preserve">Panel único de alarmas</t>
  </si>
  <si>
    <t xml:space="preserve">US-085</t>
  </si>
  <si>
    <t xml:space="preserve">Panel único con nueve familias, dueño nominal y plazos</t>
  </si>
  <si>
    <t xml:space="preserve">Toda alarma tiene una persona responsable, nunca un colectivo</t>
  </si>
  <si>
    <t xml:space="preserve">RN-167 a RN-171</t>
  </si>
  <si>
    <t xml:space="preserve">US-086</t>
  </si>
  <si>
    <t xml:space="preserve">Resolución con motivo obligatorio incluida la no acción</t>
  </si>
  <si>
    <t xml:space="preserve">La conclusión de que no hay problema se documenta igual</t>
  </si>
  <si>
    <t xml:space="preserve">RN-172</t>
  </si>
  <si>
    <t xml:space="preserve">E25</t>
  </si>
  <si>
    <t xml:space="preserve">Analítica, indicadores y encuestas</t>
  </si>
  <si>
    <t xml:space="preserve">US-087</t>
  </si>
  <si>
    <t xml:space="preserve">Eventos de decisión con zona conductual y traza</t>
  </si>
  <si>
    <t xml:space="preserve">Todo evento declara zona, clase, patrones y superficie</t>
  </si>
  <si>
    <t xml:space="preserve">RN-165, LINT-009</t>
  </si>
  <si>
    <t xml:space="preserve">US-088</t>
  </si>
  <si>
    <t xml:space="preserve">Seis indicadores con intervalo de Wilson y regla de ruptura</t>
  </si>
  <si>
    <t xml:space="preserve">n≥100, límite superior bajo umbral y dos ventanas consecutivas</t>
  </si>
  <si>
    <t xml:space="preserve">RN-159, RN-163</t>
  </si>
  <si>
    <t xml:space="preserve">US-089</t>
  </si>
  <si>
    <t xml:space="preserve">Encuesta de 5 a 7 preguntas con muestreo adaptativo</t>
  </si>
  <si>
    <t xml:space="preserve">Nunca durante el proceso de compra; objetivo 150 respuestas al mes</t>
  </si>
  <si>
    <t xml:space="preserve">RN-161, RN-162</t>
  </si>
  <si>
    <t xml:space="preserve">Media</t>
  </si>
  <si>
    <t xml:space="preserve">R4 Catálogo ampliado</t>
  </si>
  <si>
    <t xml:space="preserve">E26</t>
  </si>
  <si>
    <t xml:space="preserve">Categorías P-B y P-D</t>
  </si>
  <si>
    <t xml:space="preserve">US-090</t>
  </si>
  <si>
    <t xml:space="preserve">P-B bien usado con peritaje y acta de conformidad de estado</t>
  </si>
  <si>
    <t xml:space="preserve">Régimen existente obligatorio; declaración jurada de estado y defectos</t>
  </si>
  <si>
    <t xml:space="preserve">RN-15, RN-16</t>
  </si>
  <si>
    <t xml:space="preserve">US-091</t>
  </si>
  <si>
    <t xml:space="preserve">P-D servicio con puesta a disposición irrevocable</t>
  </si>
  <si>
    <t xml:space="preserve">Entregado significa paquete emitido e irrevocable, no consumo</t>
  </si>
  <si>
    <t xml:space="preserve">RN-15</t>
  </si>
  <si>
    <t xml:space="preserve">E27</t>
  </si>
  <si>
    <t xml:space="preserve">Bienes registrables P-C1 y P-C2</t>
  </si>
  <si>
    <t xml:space="preserve">US-092</t>
  </si>
  <si>
    <t xml:space="preserve">Motor de workflow por etapas con checklist cerrado</t>
  </si>
  <si>
    <t xml:space="preserve">Sin avance parcial; no existe aprobar con observaciones</t>
  </si>
  <si>
    <t xml:space="preserve">RN-29 a RN-33</t>
  </si>
  <si>
    <t xml:space="preserve">US-093</t>
  </si>
  <si>
    <t xml:space="preserve">Consulta registral directa y reconsulta periódica</t>
  </si>
  <si>
    <t xml:space="preserve">La consulta la hace LIBOX; reconsulta cada 7 días durante la venta</t>
  </si>
  <si>
    <t xml:space="preserve">RN-17, RN-30</t>
  </si>
  <si>
    <t xml:space="preserve">US-092, US-020</t>
  </si>
  <si>
    <t xml:space="preserve">US-094</t>
  </si>
  <si>
    <t xml:space="preserve">Bloqueo registral con vigencia cubriendo toda la venta</t>
  </si>
  <si>
    <t xml:space="preserve">Sin bloqueo vigente el sorteo no se aprueba</t>
  </si>
  <si>
    <t xml:space="preserve">RN-27</t>
  </si>
  <si>
    <t xml:space="preserve">US-095</t>
  </si>
  <si>
    <t xml:space="preserve">Instrumento notarial sobre plantilla única versionada</t>
  </si>
  <si>
    <t xml:space="preserve">No se admiten documentos aportados libremente por el organizador</t>
  </si>
  <si>
    <t xml:space="preserve">RN-26</t>
  </si>
  <si>
    <t xml:space="preserve">US-096</t>
  </si>
  <si>
    <t xml:space="preserve">Preparación legal del ganador con derecho de rechazo</t>
  </si>
  <si>
    <t xml:space="preserve">Aceptación informada de cargas y costos; puede rechazar el premio</t>
  </si>
  <si>
    <t xml:space="preserve">L3 §3.3, RN-19</t>
  </si>
  <si>
    <t xml:space="preserve">US-097</t>
  </si>
  <si>
    <t xml:space="preserve">Transferencia, verificación de inscripción y aceptación del organizador</t>
  </si>
  <si>
    <t xml:space="preserve">El organizador acepta el pago como acto propio tras la inscripción verificada</t>
  </si>
  <si>
    <t xml:space="preserve">RN-28, RN-85</t>
  </si>
  <si>
    <t xml:space="preserve">US-096, US-066</t>
  </si>
  <si>
    <t xml:space="preserve">E28</t>
  </si>
  <si>
    <t xml:space="preserve">Tipos restantes</t>
  </si>
  <si>
    <t xml:space="preserve">US-098</t>
  </si>
  <si>
    <t xml:space="preserve">T2 umbral sin cierre anticipado y T4 hitos inmutables</t>
  </si>
  <si>
    <t xml:space="preserve">T2 evalúa al vencer el plazo; exactamente un hito dispara el sorteo</t>
  </si>
  <si>
    <t xml:space="preserve">RN-11-bis, RN-11-ter</t>
  </si>
  <si>
    <t xml:space="preserve">US-099</t>
  </si>
  <si>
    <t xml:space="preserve">T5 ventana corta y T6 multi ganador sin reemplazo</t>
  </si>
  <si>
    <t xml:space="preserve">Duración entre mínimo y máximo del mercado; sin repetición de ganador</t>
  </si>
  <si>
    <t xml:space="preserve">RN-13</t>
  </si>
  <si>
    <t xml:space="preserve">US-023, US-049</t>
  </si>
  <si>
    <t xml:space="preserve">US-100</t>
  </si>
  <si>
    <t xml:space="preserve">T7 recurrencia con ediciones independientes y T8 modo en vivo</t>
  </si>
  <si>
    <t xml:space="preserve">Cada edición con su pool y su prueba; T8 no altera la matemática</t>
  </si>
  <si>
    <t xml:space="preserve">RN-11-quater, INV-17</t>
  </si>
  <si>
    <t xml:space="preserve">R6 Crecimiento y lanzamiento</t>
  </si>
  <si>
    <t xml:space="preserve">E29</t>
  </si>
  <si>
    <t xml:space="preserve">Growth y comercial</t>
  </si>
  <si>
    <t xml:space="preserve">US-101</t>
  </si>
  <si>
    <t xml:space="preserve">Atribución, embudo y captura de contactos</t>
  </si>
  <si>
    <t xml:space="preserve">Origen capturado en registro y compra</t>
  </si>
  <si>
    <t xml:space="preserve">RN-185</t>
  </si>
  <si>
    <t xml:space="preserve">US-102</t>
  </si>
  <si>
    <t xml:space="preserve">Referidos con recompensa por registro verificado</t>
  </si>
  <si>
    <t xml:space="preserve">Nunca por gasto del referido</t>
  </si>
  <si>
    <t xml:space="preserve">RN-190</t>
  </si>
  <si>
    <t xml:space="preserve">US-103</t>
  </si>
  <si>
    <t xml:space="preserve">Promociones como crédito de reembolso, nunca precio diferenciado</t>
  </si>
  <si>
    <t xml:space="preserve">El precio del ticket es idéntico para todos</t>
  </si>
  <si>
    <t xml:space="preserve">RN-186</t>
  </si>
  <si>
    <t xml:space="preserve">US-104</t>
  </si>
  <si>
    <t xml:space="preserve">Destaque etiquetado con cuota para organizadores nuevos</t>
  </si>
  <si>
    <t xml:space="preserve">Toda posición pagada se identifica; el ordenamiento reserva cuota</t>
  </si>
  <si>
    <t xml:space="preserve">RN-187 a RN-189</t>
  </si>
  <si>
    <t xml:space="preserve">US-105</t>
  </si>
  <si>
    <t xml:space="preserve">Página comercial e incorporación asistida de organizadores</t>
  </si>
  <si>
    <t xml:space="preserve">Propuesta de valor y captura de contacto</t>
  </si>
  <si>
    <t xml:space="preserve">E30</t>
  </si>
  <si>
    <t xml:space="preserve">Multi mercado y suspensión</t>
  </si>
  <si>
    <t xml:space="preserve">US-106</t>
  </si>
  <si>
    <t xml:space="preserve">Segundo mercado íntegramente por configuración</t>
  </si>
  <si>
    <t xml:space="preserve">Abrir un mercado no requiere despliegue de software</t>
  </si>
  <si>
    <t xml:space="preserve">INV-29, RN-178</t>
  </si>
  <si>
    <t xml:space="preserve">US-107</t>
  </si>
  <si>
    <t xml:space="preserve">Suspensión de mercado en cuatro niveles</t>
  </si>
  <si>
    <t xml:space="preserve">Ningún nivel impide reclamar premio, reembolso ni disponer del saldo</t>
  </si>
  <si>
    <t xml:space="preserve">INV-33, RN-182 a RN-184</t>
  </si>
  <si>
    <t xml:space="preserve">E31</t>
  </si>
  <si>
    <t xml:space="preserve">Rendimiento y endurecimiento</t>
  </si>
  <si>
    <t xml:space="preserve">US-108</t>
  </si>
  <si>
    <t xml:space="preserve">Diseño y ajuste móvil primero de las superficies</t>
  </si>
  <si>
    <t xml:space="preserve">Compuestas desde 360 px; áreas táctiles de 44 px</t>
  </si>
  <si>
    <t xml:space="preserve">RN-209, RN-210</t>
  </si>
  <si>
    <t xml:space="preserve">US-109</t>
  </si>
  <si>
    <t xml:space="preserve">Aplicación web progresiva con manifiesto y activos</t>
  </si>
  <si>
    <t xml:space="preserve">Icono enmascarable con zona segura; colores de manifiesto declarados</t>
  </si>
  <si>
    <t xml:space="preserve">RN-217, VIES §11</t>
  </si>
  <si>
    <t xml:space="preserve">US-110</t>
  </si>
  <si>
    <t xml:space="preserve">Pruebas de carga, concurrencia y endurecimiento de seguridad</t>
  </si>
  <si>
    <t xml:space="preserve">Últimos tickets, webhooks duplicados y doble sorteo bajo concurrencia</t>
  </si>
  <si>
    <t xml:space="preserve">L3 §14.4</t>
  </si>
  <si>
    <t xml:space="preserve">E32</t>
  </si>
  <si>
    <t xml:space="preserve">Ensayo real y lanzamiento</t>
  </si>
  <si>
    <t xml:space="preserve">US-111</t>
  </si>
  <si>
    <t xml:space="preserve">Ensayo con dinero real de extremo a extremo</t>
  </si>
  <si>
    <t xml:space="preserve">Ciclo completo con dinero real incluida la liquidación a cuenta bancaria</t>
  </si>
  <si>
    <t xml:space="preserve">RN-208</t>
  </si>
  <si>
    <t xml:space="preserve">Todas</t>
  </si>
  <si>
    <t xml:space="preserve">US-112</t>
  </si>
  <si>
    <t xml:space="preserve">Runbooks, guardia y comunicación de lanzamiento</t>
  </si>
  <si>
    <t xml:space="preserve">Los cuatro incidentes reales con procedimiento escrito</t>
  </si>
  <si>
    <t xml:space="preserve">L3 §13.4</t>
  </si>
  <si>
    <t xml:space="preserve">R5 Plataforma y regímenes</t>
  </si>
  <si>
    <t xml:space="preserve">E33</t>
  </si>
  <si>
    <t xml:space="preserve">Control de funciones y ventanas</t>
  </si>
  <si>
    <t xml:space="preserve">US-113</t>
  </si>
  <si>
    <t xml:space="preserve">Capacidades de plataforma con resolucion restrictiva en tres capas</t>
  </si>
  <si>
    <t xml:space="preserve">Apagar arriba no se revierte abajo; la capa mas restrictiva gana</t>
  </si>
  <si>
    <t xml:space="preserve">INV-45, RN-06-sexies</t>
  </si>
  <si>
    <t xml:space="preserve">US-114</t>
  </si>
  <si>
    <t xml:space="preserve">Escalada de apagado por alcance y degradacion segun motivo</t>
  </si>
  <si>
    <t xml:space="preserve">Causa comercial o regulatoria: las oportunidades vivas terminan. Defecto del mecanismo: se congelan antes de ejecutar</t>
  </si>
  <si>
    <t xml:space="preserve">RN-06-septies, RN-06-octies</t>
  </si>
  <si>
    <t xml:space="preserve">US-115</t>
  </si>
  <si>
    <t xml:space="preserve">Ventanas operativas con diferimiento en lugar de fallo</t>
  </si>
  <si>
    <t xml:space="preserve">Una oportunidad fuera de ventana queda lista y se ejecuta al abrirse; se publica en bases</t>
  </si>
  <si>
    <t xml:space="preserve">RN-06-nonies a RN-06-duodecies</t>
  </si>
  <si>
    <t xml:space="preserve">US-021, US-113</t>
  </si>
  <si>
    <t xml:space="preserve">US-116</t>
  </si>
  <si>
    <t xml:space="preserve">Registro auditable de toda conmutacion de funcion</t>
  </si>
  <si>
    <t xml:space="preserve">Quien, cuando, que alcance, con que motivo y a quienes afecto</t>
  </si>
  <si>
    <t xml:space="preserve">RN-06-sexies</t>
  </si>
  <si>
    <t xml:space="preserve">E34</t>
  </si>
  <si>
    <t xml:space="preserve">Panel de funciones y cuentas internas</t>
  </si>
  <si>
    <t xml:space="preserve">US-117</t>
  </si>
  <si>
    <t xml:space="preserve">Panel unico de funciones con vistas por subrol</t>
  </si>
  <si>
    <t xml:space="preserve">Cada subrol ve lo que domina, su estado, y si puede actuar o solo escalar</t>
  </si>
  <si>
    <t xml:space="preserve">RN-06-terdecies, Matriz §13</t>
  </si>
  <si>
    <t xml:space="preserve">US-113, US-030</t>
  </si>
  <si>
    <t xml:space="preserve">US-118</t>
  </si>
  <si>
    <t xml:space="preserve">Alta de cuenta interna con verificacion y multifactor</t>
  </si>
  <si>
    <t xml:space="preserve">Correo corporativo, identidad con prueba de vida, MFA y aceptacion registrada antes de activar el subrol</t>
  </si>
  <si>
    <t xml:space="preserve">RN-06-quaterdecies</t>
  </si>
  <si>
    <t xml:space="preserve">US-119</t>
  </si>
  <si>
    <t xml:space="preserve">Catalogo de subroles con vigencia y caducidad automatica</t>
  </si>
  <si>
    <t xml:space="preserve">Un subrol temporal de auditoria externa se revoca solo al vencer</t>
  </si>
  <si>
    <t xml:space="preserve">RN-06-quindecies</t>
  </si>
  <si>
    <t xml:space="preserve">US-120</t>
  </si>
  <si>
    <t xml:space="preserve">Auditoria de consulta a datos de terceros</t>
  </si>
  <si>
    <t xml:space="preserve">Toda lectura de rol interno sobre sala, expediente o documento queda registrada</t>
  </si>
  <si>
    <t xml:space="preserve">RN-203-bis</t>
  </si>
  <si>
    <t xml:space="preserve">E35</t>
  </si>
  <si>
    <t xml:space="preserve">Regimenes sin recaudacion</t>
  </si>
  <si>
    <t xml:space="preserve">US-121</t>
  </si>
  <si>
    <t xml:space="preserve">Regimen economico y origen de premio en la oportunidad</t>
  </si>
  <si>
    <t xml:space="preserve">Sin recaudacion los importes son cero y el origen de premio es obligatorio</t>
  </si>
  <si>
    <t xml:space="preserve">INV-06-b, §5.5 PRD</t>
  </si>
  <si>
    <t xml:space="preserve">US-122</t>
  </si>
  <si>
    <t xml:space="preserve">Sorteo con entrada gratuita y campana con cupo atomico</t>
  </si>
  <si>
    <t xml:space="preserve">Nunca se emiten mas participaciones que el cupo; una por persona</t>
  </si>
  <si>
    <t xml:space="preserve">INV-42, RN-14-quater a RN-14-octies</t>
  </si>
  <si>
    <t xml:space="preserve">US-123</t>
  </si>
  <si>
    <t xml:space="preserve">Garantia sustitutiva como condicion de publicacion</t>
  </si>
  <si>
    <t xml:space="preserve">Sin recaudacion no hay escrow: la garantia es lo unico que queda</t>
  </si>
  <si>
    <t xml:space="preserve">INV-06-b, RN-02-sexies</t>
  </si>
  <si>
    <t xml:space="preserve">US-124</t>
  </si>
  <si>
    <t xml:space="preserve">Prohibicion de registrables sin recaudacion ni custodia</t>
  </si>
  <si>
    <t xml:space="preserve">La clausula de custodia del instrumento notarial queda vacia sin fondos retenidos</t>
  </si>
  <si>
    <t xml:space="preserve">INV-44</t>
  </si>
  <si>
    <t xml:space="preserve">US-125</t>
  </si>
  <si>
    <t xml:space="preserve">Verificacion diferida al reclamo en participacion gratuita</t>
  </si>
  <si>
    <t xml:space="preserve">Participar exige correo y telefono unicos; la identidad se verifica al reclamar</t>
  </si>
  <si>
    <t xml:space="preserve">RN-14-quinquies</t>
  </si>
  <si>
    <t xml:space="preserve">E36</t>
  </si>
  <si>
    <t xml:space="preserve">Regimen promocional</t>
  </si>
  <si>
    <t xml:space="preserve">US-126</t>
  </si>
  <si>
    <t xml:space="preserve">Organizador promocional sin recaudacion ni liquidacion</t>
  </si>
  <si>
    <t xml:space="preserve">INV-23 no le aplica; se sustituye por cadena de conformidad</t>
  </si>
  <si>
    <t xml:space="preserve">INV-43, RN-14-decies</t>
  </si>
  <si>
    <t xml:space="preserve">US-127</t>
  </si>
  <si>
    <t xml:space="preserve">Plan promocional con cobro por adelantado y cupo propio</t>
  </si>
  <si>
    <t xml:space="preserve">Es lo unico retenible ante incumplimiento; consume cupo dentro del limite de activas</t>
  </si>
  <si>
    <t xml:space="preserve">RN-14-undecies, RN-14-duodecies</t>
  </si>
  <si>
    <t xml:space="preserve">E37</t>
  </si>
  <si>
    <t xml:space="preserve">Rango de recaudacion y parte relacionada</t>
  </si>
  <si>
    <t xml:space="preserve">US-128</t>
  </si>
  <si>
    <t xml:space="preserve">Rango de recaudacion con cuatro zonas y alerta acumulable</t>
  </si>
  <si>
    <t xml:space="preserve">Suelo 1,25x bloqueante; techo 4,0x con doble firma; banda alta genera alerta por organizador</t>
  </si>
  <si>
    <t xml:space="preserve">INV-40, INV-41, RN-01-decies a terdecies</t>
  </si>
  <si>
    <t xml:space="preserve">US-129</t>
  </si>
  <si>
    <t xml:space="preserve">Regimen de parte relacionada con trato identico</t>
  </si>
  <si>
    <t xml:space="preserve">Marca para auditoria; ninguna ruta de codigo le da trato distinto</t>
  </si>
  <si>
    <t xml:space="preserve">INV-39, RN-02-bis a quinquies</t>
  </si>
  <si>
    <t xml:space="preserve">E38</t>
  </si>
  <si>
    <t xml:space="preserve">Descubrimiento y atribucion</t>
  </si>
  <si>
    <t xml:space="preserve">US-130</t>
  </si>
  <si>
    <t xml:space="preserve">Directorio y perfil publico de organizador</t>
  </si>
  <si>
    <t xml:space="preserve">Historial de completadas y entregadas, nivel y activas. Sin recaudacion ni identidad de participantes</t>
  </si>
  <si>
    <t xml:space="preserve">PU-11, PU-12, R-10</t>
  </si>
  <si>
    <t xml:space="preserve">US-131</t>
  </si>
  <si>
    <t xml:space="preserve">Codigo de organizador y panel de atribucion</t>
  </si>
  <si>
    <t xml:space="preserve">Distingue ventas de su comunidad de ventas del catalogo. Instrumenta H-07</t>
  </si>
  <si>
    <t xml:space="preserve">RN-194-ter a quinquies</t>
  </si>
  <si>
    <t xml:space="preserve">US-132</t>
  </si>
  <si>
    <t xml:space="preserve">Marca compartida en la superficie de oportunidad</t>
  </si>
  <si>
    <t xml:space="preserve">La oportunidad es del organizador; LIBOX visible como garante</t>
  </si>
  <si>
    <t xml:space="preserve">RN-194-sexies</t>
  </si>
  <si>
    <t xml:space="preserve">E39</t>
  </si>
  <si>
    <t xml:space="preserve">LIBOX Club</t>
  </si>
  <si>
    <t xml:space="preserve">US-133</t>
  </si>
  <si>
    <t xml:space="preserve">Suscripcion con planes, alta, baja, morosidad y prorrateo</t>
  </si>
  <si>
    <t xml:space="preserve">Cancelar en dos pasos o menos. Ningun plan otorga participaciones</t>
  </si>
  <si>
    <t xml:space="preserve">INV-46, RN-194-nonies</t>
  </si>
  <si>
    <t xml:space="preserve">US-134</t>
  </si>
  <si>
    <t xml:space="preserve">Catalogo de aliados, beneficios y canje</t>
  </si>
  <si>
    <t xml:space="preserve">Jamas descuento sobre el precio del ticket</t>
  </si>
  <si>
    <t xml:space="preserve">RN-194-octies</t>
  </si>
  <si>
    <t xml:space="preserve">US-135</t>
  </si>
  <si>
    <t xml:space="preserve">Ingreso diferido de suscripcion y plan promocional</t>
  </si>
  <si>
    <t xml:space="preserve">Devengo diario y prorrateo en la baja</t>
  </si>
  <si>
    <t xml:space="preserve">T-15 a T-18</t>
  </si>
  <si>
    <t xml:space="preserve">US-133, US-127</t>
  </si>
  <si>
    <t xml:space="preserve">US-136</t>
  </si>
  <si>
    <t xml:space="preserve">Criterio doble de encendido de LIBOX Club</t>
  </si>
  <si>
    <t xml:space="preserve">Aliados con beneficio activo y volumen de verificados. Ninguno se salta</t>
  </si>
  <si>
    <t xml:space="preserve">RN-194-undecies</t>
  </si>
  <si>
    <t xml:space="preserve">LIBOX Backlog MVP V3 — Resumen de planificación</t>
  </si>
  <si>
    <t xml:space="preserve">Parámetro</t>
  </si>
  <si>
    <t xml:space="preserve">Valor</t>
  </si>
  <si>
    <t xml:space="preserve">Equipo (personas)</t>
  </si>
  <si>
    <t xml:space="preserve">Velocidad por sprint (SP)</t>
  </si>
  <si>
    <t xml:space="preserve">Duración de sprint (semanas)</t>
  </si>
  <si>
    <t xml:space="preserve">Total SP del backlog</t>
  </si>
  <si>
    <t xml:space="preserve">Total historias</t>
  </si>
  <si>
    <t xml:space="preserve">Sprints necesarios</t>
  </si>
  <si>
    <t xml:space="preserve">Semanas</t>
  </si>
  <si>
    <t xml:space="preserve">Meses aproximados</t>
  </si>
  <si>
    <t xml:space="preserve">Entrega</t>
  </si>
  <si>
    <t xml:space="preserve">Historias</t>
  </si>
  <si>
    <t xml:space="preserve">% del total</t>
  </si>
  <si>
    <t xml:space="preserve">Total</t>
  </si>
  <si>
    <t xml:space="preserve">SP con generación de IA prohibida</t>
  </si>
  <si>
    <t xml:space="preserve">SP de prioridad crítica</t>
  </si>
  <si>
    <t xml:space="preserve">Campo</t>
  </si>
  <si>
    <t xml:space="preserve">Significado</t>
  </si>
  <si>
    <t xml:space="preserve">Generación IA — Prohibida</t>
  </si>
  <si>
    <t xml:space="preserve">Zona crítica de L4/L3: se escribe a mano y se revisa por segunda persona. Propiedad fija, no rotatoria.</t>
  </si>
  <si>
    <t xml:space="preserve">Regla de negocio del PRD MVP V3 o invariante verificable por prueba automatizada. Sin traza la historia no entra al sprint.</t>
  </si>
  <si>
    <t xml:space="preserve">Estimación con factor de asistencia de IA ya aplicado por bloque. Ver Backlog V2 §1.2.</t>
  </si>
  <si>
    <t xml:space="preserve">Velocidad 32 SP</t>
  </si>
  <si>
    <t xml:space="preserve">4 personas generalistas, sprint de 2 semanas. Valor de entrada, editable en azul.</t>
  </si>
  <si>
    <t xml:space="preserve">Gate R1</t>
  </si>
  <si>
    <t xml:space="preserve">Ensayo en entorno controlado. Valida la lógica, no la realidad: el contracargo no puede simularse.</t>
  </si>
  <si>
    <t xml:space="preserve">Gate R5</t>
  </si>
  <si>
    <t xml:space="preserve">Ensayo con dinero real. Innegociable antes de que un usuario del público pague.</t>
  </si>
  <si>
    <t xml:space="preserve">Encendido progresivo</t>
  </si>
  <si>
    <t xml:space="preserve">Todo tipo y categoría se construye habilitado en el modelo y apagado por configuración.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</si>
</sst>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13"/>
      <color rgb="FF2E106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1065"/>
        <bgColor rgb="FF000080"/>
      </patternFill>
    </fill>
    <fill>
      <patternFill patternType="solid">
        <fgColor rgb="FFEDE9FE"/>
        <bgColor rgb="FFE9ECF3"/>
      </patternFill>
    </fill>
    <fill>
      <patternFill patternType="solid">
        <fgColor rgb="FFDBEAFE"/>
        <bgColor rgb="FFDDE2EC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DE9FE"/>
      </patternFill>
    </fill>
    <fill>
      <patternFill patternType="solid">
        <fgColor rgb="FFDDE2EC"/>
        <bgColor rgb="FFDBEAFE"/>
      </patternFill>
    </fill>
    <fill>
      <patternFill patternType="solid">
        <fgColor rgb="FFE9ECF3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E1065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DE2EC"/>
          <bgColor rgb="FF000000"/>
        </patternFill>
      </fill>
    </dxf>
    <dxf>
      <fill>
        <patternFill patternType="solid">
          <fgColor rgb="FFE9ECF3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E1065"/>
      <rgbColor rgb="FF808000"/>
      <rgbColor rgb="FF800080"/>
      <rgbColor rgb="FF008080"/>
      <rgbColor rgb="FFDDE2EC"/>
      <rgbColor rgb="FF808080"/>
      <rgbColor rgb="FF9999FF"/>
      <rgbColor rgb="FFB45309"/>
      <rgbColor rgb="FFFEF3C7"/>
      <rgbColor rgb="FFDBEA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F3"/>
      <rgbColor rgb="FFD1FAE5"/>
      <rgbColor rgb="FFEDE9FE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6"/>
    <col collapsed="false" customWidth="true" hidden="false" outlineLevel="0" max="7" min="7" style="0" width="6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3" t="s">
        <v>12</v>
      </c>
      <c r="C2" s="4" t="s">
        <v>13</v>
      </c>
      <c r="D2" s="3" t="s">
        <v>14</v>
      </c>
      <c r="E2" s="4" t="s">
        <v>15</v>
      </c>
      <c r="F2" s="3" t="n">
        <v>5</v>
      </c>
      <c r="G2" s="4" t="s">
        <v>16</v>
      </c>
      <c r="H2" s="4" t="s">
        <v>17</v>
      </c>
      <c r="I2" s="3" t="s">
        <v>18</v>
      </c>
      <c r="J2" s="3" t="s">
        <v>19</v>
      </c>
      <c r="K2" s="5" t="s">
        <v>20</v>
      </c>
    </row>
    <row r="3" customFormat="false" ht="15" hidden="false" customHeight="false" outlineLevel="0" collapsed="false">
      <c r="A3" s="2" t="s">
        <v>11</v>
      </c>
      <c r="B3" s="3" t="s">
        <v>12</v>
      </c>
      <c r="C3" s="4" t="s">
        <v>13</v>
      </c>
      <c r="D3" s="3" t="s">
        <v>21</v>
      </c>
      <c r="E3" s="4" t="s">
        <v>22</v>
      </c>
      <c r="F3" s="3" t="n">
        <v>8</v>
      </c>
      <c r="G3" s="4" t="s">
        <v>23</v>
      </c>
      <c r="H3" s="4" t="s">
        <v>24</v>
      </c>
      <c r="I3" s="3" t="s">
        <v>14</v>
      </c>
      <c r="J3" s="3" t="s">
        <v>19</v>
      </c>
      <c r="K3" s="5" t="s">
        <v>20</v>
      </c>
    </row>
    <row r="4" customFormat="false" ht="15" hidden="false" customHeight="false" outlineLevel="0" collapsed="false">
      <c r="A4" s="2" t="s">
        <v>11</v>
      </c>
      <c r="B4" s="3" t="s">
        <v>12</v>
      </c>
      <c r="C4" s="4" t="s">
        <v>13</v>
      </c>
      <c r="D4" s="3" t="s">
        <v>25</v>
      </c>
      <c r="E4" s="4" t="s">
        <v>26</v>
      </c>
      <c r="F4" s="3" t="n">
        <v>5</v>
      </c>
      <c r="G4" s="4" t="s">
        <v>27</v>
      </c>
      <c r="H4" s="4" t="s">
        <v>24</v>
      </c>
      <c r="I4" s="3" t="s">
        <v>21</v>
      </c>
      <c r="J4" s="3" t="s">
        <v>19</v>
      </c>
      <c r="K4" s="3" t="s">
        <v>28</v>
      </c>
    </row>
    <row r="5" customFormat="false" ht="15" hidden="false" customHeight="false" outlineLevel="0" collapsed="false">
      <c r="A5" s="2" t="s">
        <v>11</v>
      </c>
      <c r="B5" s="3" t="s">
        <v>12</v>
      </c>
      <c r="C5" s="4" t="s">
        <v>13</v>
      </c>
      <c r="D5" s="3" t="s">
        <v>29</v>
      </c>
      <c r="E5" s="4" t="s">
        <v>30</v>
      </c>
      <c r="F5" s="3" t="n">
        <v>3</v>
      </c>
      <c r="G5" s="4" t="s">
        <v>31</v>
      </c>
      <c r="H5" s="4" t="s">
        <v>32</v>
      </c>
      <c r="I5" s="3" t="s">
        <v>14</v>
      </c>
      <c r="J5" s="3" t="s">
        <v>19</v>
      </c>
      <c r="K5" s="3" t="s">
        <v>28</v>
      </c>
    </row>
    <row r="6" customFormat="false" ht="35.05" hidden="false" customHeight="false" outlineLevel="0" collapsed="false">
      <c r="A6" s="2" t="s">
        <v>11</v>
      </c>
      <c r="B6" s="3" t="s">
        <v>33</v>
      </c>
      <c r="C6" s="4" t="s">
        <v>34</v>
      </c>
      <c r="D6" s="3" t="s">
        <v>35</v>
      </c>
      <c r="E6" s="4" t="s">
        <v>36</v>
      </c>
      <c r="F6" s="3" t="n">
        <v>8</v>
      </c>
      <c r="G6" s="4" t="s">
        <v>37</v>
      </c>
      <c r="H6" s="4" t="s">
        <v>38</v>
      </c>
      <c r="I6" s="3" t="s">
        <v>14</v>
      </c>
      <c r="J6" s="3" t="s">
        <v>19</v>
      </c>
      <c r="K6" s="5" t="s">
        <v>20</v>
      </c>
    </row>
    <row r="7" customFormat="false" ht="35.05" hidden="false" customHeight="false" outlineLevel="0" collapsed="false">
      <c r="A7" s="2" t="s">
        <v>11</v>
      </c>
      <c r="B7" s="3" t="s">
        <v>33</v>
      </c>
      <c r="C7" s="4" t="s">
        <v>34</v>
      </c>
      <c r="D7" s="3" t="s">
        <v>39</v>
      </c>
      <c r="E7" s="4" t="s">
        <v>40</v>
      </c>
      <c r="F7" s="3" t="n">
        <v>5</v>
      </c>
      <c r="G7" s="4" t="s">
        <v>41</v>
      </c>
      <c r="H7" s="4" t="s">
        <v>42</v>
      </c>
      <c r="I7" s="3" t="s">
        <v>35</v>
      </c>
      <c r="J7" s="3" t="s">
        <v>19</v>
      </c>
      <c r="K7" s="5" t="s">
        <v>20</v>
      </c>
    </row>
    <row r="8" customFormat="false" ht="23.85" hidden="false" customHeight="false" outlineLevel="0" collapsed="false">
      <c r="A8" s="2" t="s">
        <v>11</v>
      </c>
      <c r="B8" s="3" t="s">
        <v>33</v>
      </c>
      <c r="C8" s="4" t="s">
        <v>34</v>
      </c>
      <c r="D8" s="3" t="s">
        <v>43</v>
      </c>
      <c r="E8" s="4" t="s">
        <v>44</v>
      </c>
      <c r="F8" s="3" t="n">
        <v>5</v>
      </c>
      <c r="G8" s="4" t="s">
        <v>45</v>
      </c>
      <c r="H8" s="4" t="s">
        <v>46</v>
      </c>
      <c r="I8" s="3" t="s">
        <v>39</v>
      </c>
      <c r="J8" s="3" t="s">
        <v>19</v>
      </c>
      <c r="K8" s="3" t="s">
        <v>28</v>
      </c>
    </row>
    <row r="9" customFormat="false" ht="23.85" hidden="false" customHeight="false" outlineLevel="0" collapsed="false">
      <c r="A9" s="2" t="s">
        <v>11</v>
      </c>
      <c r="B9" s="3" t="s">
        <v>47</v>
      </c>
      <c r="C9" s="4" t="s">
        <v>48</v>
      </c>
      <c r="D9" s="3" t="s">
        <v>49</v>
      </c>
      <c r="E9" s="4" t="s">
        <v>50</v>
      </c>
      <c r="F9" s="3" t="n">
        <v>5</v>
      </c>
      <c r="G9" s="4" t="s">
        <v>51</v>
      </c>
      <c r="H9" s="4" t="s">
        <v>52</v>
      </c>
      <c r="I9" s="3" t="s">
        <v>39</v>
      </c>
      <c r="J9" s="3" t="s">
        <v>19</v>
      </c>
      <c r="K9" s="5" t="s">
        <v>20</v>
      </c>
    </row>
    <row r="10" customFormat="false" ht="15" hidden="false" customHeight="false" outlineLevel="0" collapsed="false">
      <c r="A10" s="2" t="s">
        <v>11</v>
      </c>
      <c r="B10" s="3" t="s">
        <v>47</v>
      </c>
      <c r="C10" s="4" t="s">
        <v>48</v>
      </c>
      <c r="D10" s="3" t="s">
        <v>53</v>
      </c>
      <c r="E10" s="4" t="s">
        <v>54</v>
      </c>
      <c r="F10" s="3" t="n">
        <v>3</v>
      </c>
      <c r="G10" s="4" t="s">
        <v>55</v>
      </c>
      <c r="H10" s="4" t="s">
        <v>56</v>
      </c>
      <c r="I10" s="3" t="s">
        <v>49</v>
      </c>
      <c r="J10" s="3" t="s">
        <v>19</v>
      </c>
      <c r="K10" s="5" t="s">
        <v>20</v>
      </c>
    </row>
    <row r="11" customFormat="false" ht="23.85" hidden="false" customHeight="false" outlineLevel="0" collapsed="false">
      <c r="A11" s="2" t="s">
        <v>11</v>
      </c>
      <c r="B11" s="3" t="s">
        <v>47</v>
      </c>
      <c r="C11" s="4" t="s">
        <v>48</v>
      </c>
      <c r="D11" s="3" t="s">
        <v>57</v>
      </c>
      <c r="E11" s="4" t="s">
        <v>58</v>
      </c>
      <c r="F11" s="3" t="n">
        <v>5</v>
      </c>
      <c r="G11" s="4" t="s">
        <v>59</v>
      </c>
      <c r="H11" s="4" t="s">
        <v>60</v>
      </c>
      <c r="I11" s="3" t="s">
        <v>49</v>
      </c>
      <c r="J11" s="3" t="s">
        <v>19</v>
      </c>
      <c r="K11" s="5" t="s">
        <v>20</v>
      </c>
    </row>
    <row r="12" customFormat="false" ht="23.85" hidden="false" customHeight="false" outlineLevel="0" collapsed="false">
      <c r="A12" s="2" t="s">
        <v>11</v>
      </c>
      <c r="B12" s="3" t="s">
        <v>47</v>
      </c>
      <c r="C12" s="4" t="s">
        <v>48</v>
      </c>
      <c r="D12" s="3" t="s">
        <v>61</v>
      </c>
      <c r="E12" s="4" t="s">
        <v>62</v>
      </c>
      <c r="F12" s="3" t="n">
        <v>5</v>
      </c>
      <c r="G12" s="4" t="s">
        <v>63</v>
      </c>
      <c r="H12" s="4" t="s">
        <v>64</v>
      </c>
      <c r="I12" s="3" t="s">
        <v>57</v>
      </c>
      <c r="J12" s="3" t="s">
        <v>19</v>
      </c>
      <c r="K12" s="5" t="s">
        <v>20</v>
      </c>
    </row>
    <row r="13" customFormat="false" ht="23.85" hidden="false" customHeight="false" outlineLevel="0" collapsed="false">
      <c r="A13" s="2" t="s">
        <v>11</v>
      </c>
      <c r="B13" s="3" t="s">
        <v>47</v>
      </c>
      <c r="C13" s="4" t="s">
        <v>48</v>
      </c>
      <c r="D13" s="3" t="s">
        <v>65</v>
      </c>
      <c r="E13" s="4" t="s">
        <v>66</v>
      </c>
      <c r="F13" s="3" t="n">
        <v>3</v>
      </c>
      <c r="G13" s="4" t="s">
        <v>67</v>
      </c>
      <c r="H13" s="4" t="s">
        <v>68</v>
      </c>
      <c r="I13" s="3" t="s">
        <v>61</v>
      </c>
      <c r="J13" s="3" t="s">
        <v>19</v>
      </c>
      <c r="K13" s="3" t="s">
        <v>28</v>
      </c>
    </row>
    <row r="14" customFormat="false" ht="23.85" hidden="false" customHeight="false" outlineLevel="0" collapsed="false">
      <c r="A14" s="2" t="s">
        <v>11</v>
      </c>
      <c r="B14" s="3" t="s">
        <v>69</v>
      </c>
      <c r="C14" s="4" t="s">
        <v>70</v>
      </c>
      <c r="D14" s="3" t="s">
        <v>71</v>
      </c>
      <c r="E14" s="4" t="s">
        <v>72</v>
      </c>
      <c r="F14" s="3" t="n">
        <v>8</v>
      </c>
      <c r="G14" s="4" t="s">
        <v>73</v>
      </c>
      <c r="H14" s="4" t="s">
        <v>74</v>
      </c>
      <c r="I14" s="3" t="s">
        <v>39</v>
      </c>
      <c r="J14" s="3" t="s">
        <v>19</v>
      </c>
      <c r="K14" s="5" t="s">
        <v>20</v>
      </c>
    </row>
    <row r="15" customFormat="false" ht="23.85" hidden="false" customHeight="false" outlineLevel="0" collapsed="false">
      <c r="A15" s="2" t="s">
        <v>11</v>
      </c>
      <c r="B15" s="3" t="s">
        <v>69</v>
      </c>
      <c r="C15" s="4" t="s">
        <v>70</v>
      </c>
      <c r="D15" s="3" t="s">
        <v>75</v>
      </c>
      <c r="E15" s="4" t="s">
        <v>76</v>
      </c>
      <c r="F15" s="3" t="n">
        <v>5</v>
      </c>
      <c r="G15" s="4" t="s">
        <v>77</v>
      </c>
      <c r="H15" s="4" t="s">
        <v>78</v>
      </c>
      <c r="I15" s="3" t="s">
        <v>71</v>
      </c>
      <c r="J15" s="6" t="s">
        <v>79</v>
      </c>
      <c r="K15" s="5" t="s">
        <v>20</v>
      </c>
    </row>
    <row r="16" customFormat="false" ht="23.85" hidden="false" customHeight="false" outlineLevel="0" collapsed="false">
      <c r="A16" s="2" t="s">
        <v>11</v>
      </c>
      <c r="B16" s="3" t="s">
        <v>69</v>
      </c>
      <c r="C16" s="4" t="s">
        <v>70</v>
      </c>
      <c r="D16" s="3" t="s">
        <v>80</v>
      </c>
      <c r="E16" s="4" t="s">
        <v>81</v>
      </c>
      <c r="F16" s="3" t="n">
        <v>8</v>
      </c>
      <c r="G16" s="4" t="s">
        <v>82</v>
      </c>
      <c r="H16" s="4" t="s">
        <v>83</v>
      </c>
      <c r="I16" s="3" t="s">
        <v>71</v>
      </c>
      <c r="J16" s="6" t="s">
        <v>79</v>
      </c>
      <c r="K16" s="5" t="s">
        <v>20</v>
      </c>
    </row>
    <row r="17" customFormat="false" ht="15" hidden="false" customHeight="false" outlineLevel="0" collapsed="false">
      <c r="A17" s="2" t="s">
        <v>11</v>
      </c>
      <c r="B17" s="3" t="s">
        <v>84</v>
      </c>
      <c r="C17" s="4" t="s">
        <v>85</v>
      </c>
      <c r="D17" s="3" t="s">
        <v>86</v>
      </c>
      <c r="E17" s="4" t="s">
        <v>87</v>
      </c>
      <c r="F17" s="3" t="n">
        <v>5</v>
      </c>
      <c r="G17" s="4" t="s">
        <v>88</v>
      </c>
      <c r="H17" s="4" t="s">
        <v>89</v>
      </c>
      <c r="I17" s="3" t="s">
        <v>39</v>
      </c>
      <c r="J17" s="3" t="s">
        <v>19</v>
      </c>
      <c r="K17" s="5" t="s">
        <v>20</v>
      </c>
    </row>
    <row r="18" customFormat="false" ht="15" hidden="false" customHeight="false" outlineLevel="0" collapsed="false">
      <c r="A18" s="2" t="s">
        <v>11</v>
      </c>
      <c r="B18" s="3" t="s">
        <v>84</v>
      </c>
      <c r="C18" s="4" t="s">
        <v>85</v>
      </c>
      <c r="D18" s="3" t="s">
        <v>90</v>
      </c>
      <c r="E18" s="4" t="s">
        <v>91</v>
      </c>
      <c r="F18" s="3" t="n">
        <v>5</v>
      </c>
      <c r="G18" s="4" t="s">
        <v>92</v>
      </c>
      <c r="H18" s="4" t="s">
        <v>93</v>
      </c>
      <c r="I18" s="3" t="s">
        <v>86</v>
      </c>
      <c r="J18" s="3" t="s">
        <v>19</v>
      </c>
      <c r="K18" s="5" t="s">
        <v>20</v>
      </c>
    </row>
    <row r="19" customFormat="false" ht="23.85" hidden="false" customHeight="false" outlineLevel="0" collapsed="false">
      <c r="A19" s="2" t="s">
        <v>11</v>
      </c>
      <c r="B19" s="3" t="s">
        <v>84</v>
      </c>
      <c r="C19" s="4" t="s">
        <v>85</v>
      </c>
      <c r="D19" s="3" t="s">
        <v>94</v>
      </c>
      <c r="E19" s="4" t="s">
        <v>95</v>
      </c>
      <c r="F19" s="3" t="n">
        <v>3</v>
      </c>
      <c r="G19" s="4" t="s">
        <v>96</v>
      </c>
      <c r="H19" s="4" t="s">
        <v>97</v>
      </c>
      <c r="I19" s="3" t="s">
        <v>90</v>
      </c>
      <c r="J19" s="3" t="s">
        <v>19</v>
      </c>
      <c r="K19" s="5" t="s">
        <v>20</v>
      </c>
    </row>
    <row r="20" customFormat="false" ht="15" hidden="false" customHeight="false" outlineLevel="0" collapsed="false">
      <c r="A20" s="2" t="s">
        <v>11</v>
      </c>
      <c r="B20" s="3" t="s">
        <v>98</v>
      </c>
      <c r="C20" s="4" t="s">
        <v>99</v>
      </c>
      <c r="D20" s="3" t="s">
        <v>100</v>
      </c>
      <c r="E20" s="4" t="s">
        <v>101</v>
      </c>
      <c r="F20" s="3" t="n">
        <v>5</v>
      </c>
      <c r="G20" s="4" t="s">
        <v>102</v>
      </c>
      <c r="H20" s="4" t="s">
        <v>103</v>
      </c>
      <c r="I20" s="3" t="s">
        <v>39</v>
      </c>
      <c r="J20" s="3" t="s">
        <v>19</v>
      </c>
      <c r="K20" s="5" t="s">
        <v>20</v>
      </c>
    </row>
    <row r="21" customFormat="false" ht="23.85" hidden="false" customHeight="false" outlineLevel="0" collapsed="false">
      <c r="A21" s="2" t="s">
        <v>11</v>
      </c>
      <c r="B21" s="3" t="s">
        <v>98</v>
      </c>
      <c r="C21" s="4" t="s">
        <v>99</v>
      </c>
      <c r="D21" s="3" t="s">
        <v>104</v>
      </c>
      <c r="E21" s="4" t="s">
        <v>105</v>
      </c>
      <c r="F21" s="3" t="n">
        <v>3</v>
      </c>
      <c r="G21" s="4" t="s">
        <v>106</v>
      </c>
      <c r="H21" s="4" t="s">
        <v>107</v>
      </c>
      <c r="I21" s="3" t="s">
        <v>100</v>
      </c>
      <c r="J21" s="3" t="s">
        <v>19</v>
      </c>
      <c r="K21" s="3" t="s">
        <v>28</v>
      </c>
    </row>
    <row r="22" customFormat="false" ht="23.85" hidden="false" customHeight="false" outlineLevel="0" collapsed="false">
      <c r="A22" s="7" t="s">
        <v>108</v>
      </c>
      <c r="B22" s="3" t="s">
        <v>109</v>
      </c>
      <c r="C22" s="4" t="s">
        <v>110</v>
      </c>
      <c r="D22" s="3" t="s">
        <v>111</v>
      </c>
      <c r="E22" s="4" t="s">
        <v>112</v>
      </c>
      <c r="F22" s="3" t="n">
        <v>13</v>
      </c>
      <c r="G22" s="4" t="s">
        <v>113</v>
      </c>
      <c r="H22" s="4" t="s">
        <v>114</v>
      </c>
      <c r="I22" s="3" t="s">
        <v>115</v>
      </c>
      <c r="J22" s="3" t="s">
        <v>19</v>
      </c>
      <c r="K22" s="5" t="s">
        <v>20</v>
      </c>
    </row>
    <row r="23" customFormat="false" ht="23.85" hidden="false" customHeight="false" outlineLevel="0" collapsed="false">
      <c r="A23" s="7" t="s">
        <v>108</v>
      </c>
      <c r="B23" s="3" t="s">
        <v>109</v>
      </c>
      <c r="C23" s="4" t="s">
        <v>110</v>
      </c>
      <c r="D23" s="3" t="s">
        <v>116</v>
      </c>
      <c r="E23" s="4" t="s">
        <v>117</v>
      </c>
      <c r="F23" s="3" t="n">
        <v>8</v>
      </c>
      <c r="G23" s="4" t="s">
        <v>118</v>
      </c>
      <c r="H23" s="4" t="s">
        <v>119</v>
      </c>
      <c r="I23" s="3" t="s">
        <v>111</v>
      </c>
      <c r="J23" s="3" t="s">
        <v>19</v>
      </c>
      <c r="K23" s="5" t="s">
        <v>20</v>
      </c>
    </row>
    <row r="24" customFormat="false" ht="23.85" hidden="false" customHeight="false" outlineLevel="0" collapsed="false">
      <c r="A24" s="7" t="s">
        <v>108</v>
      </c>
      <c r="B24" s="3" t="s">
        <v>120</v>
      </c>
      <c r="C24" s="4" t="s">
        <v>121</v>
      </c>
      <c r="D24" s="3" t="s">
        <v>122</v>
      </c>
      <c r="E24" s="4" t="s">
        <v>123</v>
      </c>
      <c r="F24" s="3" t="n">
        <v>8</v>
      </c>
      <c r="G24" s="4" t="s">
        <v>124</v>
      </c>
      <c r="H24" s="4" t="s">
        <v>125</v>
      </c>
      <c r="I24" s="3" t="s">
        <v>39</v>
      </c>
      <c r="J24" s="3" t="s">
        <v>19</v>
      </c>
      <c r="K24" s="5" t="s">
        <v>20</v>
      </c>
    </row>
    <row r="25" customFormat="false" ht="15" hidden="false" customHeight="false" outlineLevel="0" collapsed="false">
      <c r="A25" s="7" t="s">
        <v>108</v>
      </c>
      <c r="B25" s="3" t="s">
        <v>120</v>
      </c>
      <c r="C25" s="4" t="s">
        <v>121</v>
      </c>
      <c r="D25" s="3" t="s">
        <v>126</v>
      </c>
      <c r="E25" s="4" t="s">
        <v>127</v>
      </c>
      <c r="F25" s="3" t="n">
        <v>5</v>
      </c>
      <c r="G25" s="4" t="s">
        <v>128</v>
      </c>
      <c r="H25" s="4" t="s">
        <v>129</v>
      </c>
      <c r="I25" s="3" t="s">
        <v>122</v>
      </c>
      <c r="J25" s="3" t="s">
        <v>19</v>
      </c>
      <c r="K25" s="3" t="s">
        <v>28</v>
      </c>
    </row>
    <row r="26" customFormat="false" ht="15" hidden="false" customHeight="false" outlineLevel="0" collapsed="false">
      <c r="A26" s="7" t="s">
        <v>108</v>
      </c>
      <c r="B26" s="3" t="s">
        <v>130</v>
      </c>
      <c r="C26" s="4" t="s">
        <v>131</v>
      </c>
      <c r="D26" s="3" t="s">
        <v>132</v>
      </c>
      <c r="E26" s="4" t="s">
        <v>133</v>
      </c>
      <c r="F26" s="3" t="n">
        <v>8</v>
      </c>
      <c r="G26" s="4" t="s">
        <v>134</v>
      </c>
      <c r="H26" s="4" t="s">
        <v>135</v>
      </c>
      <c r="I26" s="3" t="s">
        <v>39</v>
      </c>
      <c r="J26" s="3" t="s">
        <v>19</v>
      </c>
      <c r="K26" s="5" t="s">
        <v>20</v>
      </c>
    </row>
    <row r="27" customFormat="false" ht="15" hidden="false" customHeight="false" outlineLevel="0" collapsed="false">
      <c r="A27" s="7" t="s">
        <v>108</v>
      </c>
      <c r="B27" s="3" t="s">
        <v>130</v>
      </c>
      <c r="C27" s="4" t="s">
        <v>131</v>
      </c>
      <c r="D27" s="3" t="s">
        <v>136</v>
      </c>
      <c r="E27" s="4" t="s">
        <v>137</v>
      </c>
      <c r="F27" s="3" t="n">
        <v>8</v>
      </c>
      <c r="G27" s="4" t="s">
        <v>138</v>
      </c>
      <c r="H27" s="4" t="s">
        <v>139</v>
      </c>
      <c r="I27" s="3" t="s">
        <v>132</v>
      </c>
      <c r="J27" s="3" t="s">
        <v>19</v>
      </c>
      <c r="K27" s="5" t="s">
        <v>20</v>
      </c>
    </row>
    <row r="28" customFormat="false" ht="15" hidden="false" customHeight="false" outlineLevel="0" collapsed="false">
      <c r="A28" s="7" t="s">
        <v>108</v>
      </c>
      <c r="B28" s="3" t="s">
        <v>130</v>
      </c>
      <c r="C28" s="4" t="s">
        <v>131</v>
      </c>
      <c r="D28" s="3" t="s">
        <v>140</v>
      </c>
      <c r="E28" s="4" t="s">
        <v>141</v>
      </c>
      <c r="F28" s="3" t="n">
        <v>5</v>
      </c>
      <c r="G28" s="4" t="s">
        <v>142</v>
      </c>
      <c r="H28" s="4" t="s">
        <v>143</v>
      </c>
      <c r="I28" s="3" t="s">
        <v>132</v>
      </c>
      <c r="J28" s="3" t="s">
        <v>19</v>
      </c>
      <c r="K28" s="3" t="s">
        <v>28</v>
      </c>
    </row>
    <row r="29" customFormat="false" ht="23.85" hidden="false" customHeight="false" outlineLevel="0" collapsed="false">
      <c r="A29" s="7" t="s">
        <v>108</v>
      </c>
      <c r="B29" s="3" t="s">
        <v>130</v>
      </c>
      <c r="C29" s="4" t="s">
        <v>131</v>
      </c>
      <c r="D29" s="3" t="s">
        <v>144</v>
      </c>
      <c r="E29" s="4" t="s">
        <v>145</v>
      </c>
      <c r="F29" s="3" t="n">
        <v>8</v>
      </c>
      <c r="G29" s="4" t="s">
        <v>146</v>
      </c>
      <c r="H29" s="4" t="s">
        <v>147</v>
      </c>
      <c r="I29" s="3" t="s">
        <v>148</v>
      </c>
      <c r="J29" s="3" t="s">
        <v>19</v>
      </c>
      <c r="K29" s="3" t="s">
        <v>28</v>
      </c>
    </row>
    <row r="30" customFormat="false" ht="15" hidden="false" customHeight="false" outlineLevel="0" collapsed="false">
      <c r="A30" s="7" t="s">
        <v>108</v>
      </c>
      <c r="B30" s="3" t="s">
        <v>130</v>
      </c>
      <c r="C30" s="4" t="s">
        <v>131</v>
      </c>
      <c r="D30" s="3" t="s">
        <v>149</v>
      </c>
      <c r="E30" s="4" t="s">
        <v>150</v>
      </c>
      <c r="F30" s="3" t="n">
        <v>5</v>
      </c>
      <c r="G30" s="4" t="s">
        <v>151</v>
      </c>
      <c r="H30" s="4" t="s">
        <v>152</v>
      </c>
      <c r="I30" s="3" t="s">
        <v>153</v>
      </c>
      <c r="J30" s="6" t="s">
        <v>79</v>
      </c>
      <c r="K30" s="3" t="s">
        <v>28</v>
      </c>
    </row>
    <row r="31" customFormat="false" ht="23.85" hidden="false" customHeight="false" outlineLevel="0" collapsed="false">
      <c r="A31" s="7" t="s">
        <v>108</v>
      </c>
      <c r="B31" s="3" t="s">
        <v>154</v>
      </c>
      <c r="C31" s="4" t="s">
        <v>155</v>
      </c>
      <c r="D31" s="3" t="s">
        <v>156</v>
      </c>
      <c r="E31" s="4" t="s">
        <v>157</v>
      </c>
      <c r="F31" s="3" t="n">
        <v>13</v>
      </c>
      <c r="G31" s="4" t="s">
        <v>158</v>
      </c>
      <c r="H31" s="4" t="s">
        <v>159</v>
      </c>
      <c r="I31" s="3" t="s">
        <v>14</v>
      </c>
      <c r="J31" s="3" t="s">
        <v>19</v>
      </c>
      <c r="K31" s="5" t="s">
        <v>20</v>
      </c>
    </row>
    <row r="32" customFormat="false" ht="15" hidden="false" customHeight="false" outlineLevel="0" collapsed="false">
      <c r="A32" s="7" t="s">
        <v>108</v>
      </c>
      <c r="B32" s="3" t="s">
        <v>154</v>
      </c>
      <c r="C32" s="4" t="s">
        <v>155</v>
      </c>
      <c r="D32" s="3" t="s">
        <v>160</v>
      </c>
      <c r="E32" s="4" t="s">
        <v>161</v>
      </c>
      <c r="F32" s="3" t="n">
        <v>8</v>
      </c>
      <c r="G32" s="4" t="s">
        <v>162</v>
      </c>
      <c r="H32" s="4" t="s">
        <v>163</v>
      </c>
      <c r="I32" s="3" t="s">
        <v>156</v>
      </c>
      <c r="J32" s="3" t="s">
        <v>19</v>
      </c>
      <c r="K32" s="5" t="s">
        <v>20</v>
      </c>
    </row>
    <row r="33" customFormat="false" ht="15" hidden="false" customHeight="false" outlineLevel="0" collapsed="false">
      <c r="A33" s="7" t="s">
        <v>108</v>
      </c>
      <c r="B33" s="3" t="s">
        <v>154</v>
      </c>
      <c r="C33" s="4" t="s">
        <v>155</v>
      </c>
      <c r="D33" s="3" t="s">
        <v>164</v>
      </c>
      <c r="E33" s="4" t="s">
        <v>165</v>
      </c>
      <c r="F33" s="3" t="n">
        <v>5</v>
      </c>
      <c r="G33" s="4" t="s">
        <v>166</v>
      </c>
      <c r="H33" s="4" t="s">
        <v>167</v>
      </c>
      <c r="I33" s="3" t="s">
        <v>160</v>
      </c>
      <c r="J33" s="3" t="s">
        <v>19</v>
      </c>
      <c r="K33" s="3" t="s">
        <v>28</v>
      </c>
    </row>
    <row r="34" customFormat="false" ht="23.85" hidden="false" customHeight="false" outlineLevel="0" collapsed="false">
      <c r="A34" s="7" t="s">
        <v>108</v>
      </c>
      <c r="B34" s="3" t="s">
        <v>154</v>
      </c>
      <c r="C34" s="4" t="s">
        <v>155</v>
      </c>
      <c r="D34" s="3" t="s">
        <v>168</v>
      </c>
      <c r="E34" s="4" t="s">
        <v>169</v>
      </c>
      <c r="F34" s="3" t="n">
        <v>8</v>
      </c>
      <c r="G34" s="4" t="s">
        <v>170</v>
      </c>
      <c r="H34" s="4" t="s">
        <v>171</v>
      </c>
      <c r="I34" s="3" t="s">
        <v>160</v>
      </c>
      <c r="J34" s="3" t="s">
        <v>19</v>
      </c>
      <c r="K34" s="5" t="s">
        <v>20</v>
      </c>
    </row>
    <row r="35" customFormat="false" ht="23.85" hidden="false" customHeight="false" outlineLevel="0" collapsed="false">
      <c r="A35" s="7" t="s">
        <v>108</v>
      </c>
      <c r="B35" s="3" t="s">
        <v>154</v>
      </c>
      <c r="C35" s="4" t="s">
        <v>155</v>
      </c>
      <c r="D35" s="3" t="s">
        <v>172</v>
      </c>
      <c r="E35" s="4" t="s">
        <v>173</v>
      </c>
      <c r="F35" s="3" t="n">
        <v>5</v>
      </c>
      <c r="G35" s="4" t="s">
        <v>174</v>
      </c>
      <c r="H35" s="4" t="s">
        <v>175</v>
      </c>
      <c r="I35" s="3" t="s">
        <v>156</v>
      </c>
      <c r="J35" s="3" t="s">
        <v>19</v>
      </c>
      <c r="K35" s="3" t="s">
        <v>28</v>
      </c>
    </row>
    <row r="36" customFormat="false" ht="23.85" hidden="false" customHeight="false" outlineLevel="0" collapsed="false">
      <c r="A36" s="7" t="s">
        <v>108</v>
      </c>
      <c r="B36" s="3" t="s">
        <v>176</v>
      </c>
      <c r="C36" s="4" t="s">
        <v>177</v>
      </c>
      <c r="D36" s="3" t="s">
        <v>178</v>
      </c>
      <c r="E36" s="4" t="s">
        <v>179</v>
      </c>
      <c r="F36" s="3" t="n">
        <v>8</v>
      </c>
      <c r="G36" s="4" t="s">
        <v>180</v>
      </c>
      <c r="H36" s="4" t="s">
        <v>181</v>
      </c>
      <c r="I36" s="3" t="s">
        <v>39</v>
      </c>
      <c r="J36" s="6" t="s">
        <v>79</v>
      </c>
      <c r="K36" s="5" t="s">
        <v>20</v>
      </c>
    </row>
    <row r="37" customFormat="false" ht="23.85" hidden="false" customHeight="false" outlineLevel="0" collapsed="false">
      <c r="A37" s="7" t="s">
        <v>108</v>
      </c>
      <c r="B37" s="3" t="s">
        <v>176</v>
      </c>
      <c r="C37" s="4" t="s">
        <v>177</v>
      </c>
      <c r="D37" s="3" t="s">
        <v>182</v>
      </c>
      <c r="E37" s="4" t="s">
        <v>183</v>
      </c>
      <c r="F37" s="3" t="n">
        <v>8</v>
      </c>
      <c r="G37" s="4" t="s">
        <v>184</v>
      </c>
      <c r="H37" s="4" t="s">
        <v>185</v>
      </c>
      <c r="I37" s="3" t="s">
        <v>178</v>
      </c>
      <c r="J37" s="6" t="s">
        <v>79</v>
      </c>
      <c r="K37" s="5" t="s">
        <v>20</v>
      </c>
    </row>
    <row r="38" customFormat="false" ht="15" hidden="false" customHeight="false" outlineLevel="0" collapsed="false">
      <c r="A38" s="7" t="s">
        <v>108</v>
      </c>
      <c r="B38" s="3" t="s">
        <v>176</v>
      </c>
      <c r="C38" s="4" t="s">
        <v>177</v>
      </c>
      <c r="D38" s="3" t="s">
        <v>186</v>
      </c>
      <c r="E38" s="4" t="s">
        <v>187</v>
      </c>
      <c r="F38" s="3" t="n">
        <v>5</v>
      </c>
      <c r="G38" s="4" t="s">
        <v>188</v>
      </c>
      <c r="H38" s="4" t="s">
        <v>189</v>
      </c>
      <c r="I38" s="3" t="s">
        <v>182</v>
      </c>
      <c r="J38" s="3" t="s">
        <v>19</v>
      </c>
      <c r="K38" s="5" t="s">
        <v>20</v>
      </c>
    </row>
    <row r="39" customFormat="false" ht="23.85" hidden="false" customHeight="false" outlineLevel="0" collapsed="false">
      <c r="A39" s="7" t="s">
        <v>108</v>
      </c>
      <c r="B39" s="3" t="s">
        <v>176</v>
      </c>
      <c r="C39" s="4" t="s">
        <v>177</v>
      </c>
      <c r="D39" s="3" t="s">
        <v>190</v>
      </c>
      <c r="E39" s="4" t="s">
        <v>191</v>
      </c>
      <c r="F39" s="3" t="n">
        <v>8</v>
      </c>
      <c r="G39" s="4" t="s">
        <v>192</v>
      </c>
      <c r="H39" s="4" t="s">
        <v>193</v>
      </c>
      <c r="I39" s="3" t="s">
        <v>194</v>
      </c>
      <c r="J39" s="3" t="s">
        <v>19</v>
      </c>
      <c r="K39" s="5" t="s">
        <v>20</v>
      </c>
    </row>
    <row r="40" customFormat="false" ht="15" hidden="false" customHeight="false" outlineLevel="0" collapsed="false">
      <c r="A40" s="7" t="s">
        <v>108</v>
      </c>
      <c r="B40" s="3" t="s">
        <v>176</v>
      </c>
      <c r="C40" s="4" t="s">
        <v>177</v>
      </c>
      <c r="D40" s="3" t="s">
        <v>195</v>
      </c>
      <c r="E40" s="4" t="s">
        <v>196</v>
      </c>
      <c r="F40" s="3" t="n">
        <v>5</v>
      </c>
      <c r="G40" s="4" t="s">
        <v>197</v>
      </c>
      <c r="H40" s="4" t="s">
        <v>198</v>
      </c>
      <c r="I40" s="3" t="s">
        <v>190</v>
      </c>
      <c r="J40" s="3" t="s">
        <v>19</v>
      </c>
      <c r="K40" s="3" t="s">
        <v>28</v>
      </c>
    </row>
    <row r="41" customFormat="false" ht="15" hidden="false" customHeight="false" outlineLevel="0" collapsed="false">
      <c r="A41" s="7" t="s">
        <v>108</v>
      </c>
      <c r="B41" s="3" t="s">
        <v>199</v>
      </c>
      <c r="C41" s="4" t="s">
        <v>200</v>
      </c>
      <c r="D41" s="3" t="s">
        <v>201</v>
      </c>
      <c r="E41" s="4" t="s">
        <v>202</v>
      </c>
      <c r="F41" s="3" t="n">
        <v>8</v>
      </c>
      <c r="G41" s="4" t="s">
        <v>203</v>
      </c>
      <c r="H41" s="4" t="s">
        <v>204</v>
      </c>
      <c r="I41" s="3" t="s">
        <v>205</v>
      </c>
      <c r="J41" s="3" t="s">
        <v>19</v>
      </c>
      <c r="K41" s="5" t="s">
        <v>20</v>
      </c>
    </row>
    <row r="42" customFormat="false" ht="23.85" hidden="false" customHeight="false" outlineLevel="0" collapsed="false">
      <c r="A42" s="7" t="s">
        <v>108</v>
      </c>
      <c r="B42" s="3" t="s">
        <v>199</v>
      </c>
      <c r="C42" s="4" t="s">
        <v>200</v>
      </c>
      <c r="D42" s="3" t="s">
        <v>206</v>
      </c>
      <c r="E42" s="4" t="s">
        <v>207</v>
      </c>
      <c r="F42" s="3" t="n">
        <v>8</v>
      </c>
      <c r="G42" s="4" t="s">
        <v>208</v>
      </c>
      <c r="H42" s="4" t="s">
        <v>209</v>
      </c>
      <c r="I42" s="3" t="s">
        <v>201</v>
      </c>
      <c r="J42" s="6" t="s">
        <v>79</v>
      </c>
      <c r="K42" s="5" t="s">
        <v>20</v>
      </c>
    </row>
    <row r="43" customFormat="false" ht="15" hidden="false" customHeight="false" outlineLevel="0" collapsed="false">
      <c r="A43" s="7" t="s">
        <v>108</v>
      </c>
      <c r="B43" s="3" t="s">
        <v>199</v>
      </c>
      <c r="C43" s="4" t="s">
        <v>200</v>
      </c>
      <c r="D43" s="3" t="s">
        <v>210</v>
      </c>
      <c r="E43" s="4" t="s">
        <v>211</v>
      </c>
      <c r="F43" s="3" t="n">
        <v>5</v>
      </c>
      <c r="G43" s="4" t="s">
        <v>212</v>
      </c>
      <c r="H43" s="4" t="s">
        <v>213</v>
      </c>
      <c r="I43" s="3" t="s">
        <v>206</v>
      </c>
      <c r="J43" s="6" t="s">
        <v>79</v>
      </c>
      <c r="K43" s="5" t="s">
        <v>20</v>
      </c>
    </row>
    <row r="44" customFormat="false" ht="15" hidden="false" customHeight="false" outlineLevel="0" collapsed="false">
      <c r="A44" s="7" t="s">
        <v>108</v>
      </c>
      <c r="B44" s="3" t="s">
        <v>199</v>
      </c>
      <c r="C44" s="4" t="s">
        <v>200</v>
      </c>
      <c r="D44" s="3" t="s">
        <v>214</v>
      </c>
      <c r="E44" s="4" t="s">
        <v>215</v>
      </c>
      <c r="F44" s="3" t="n">
        <v>8</v>
      </c>
      <c r="G44" s="4" t="s">
        <v>216</v>
      </c>
      <c r="H44" s="4" t="s">
        <v>217</v>
      </c>
      <c r="I44" s="3" t="s">
        <v>210</v>
      </c>
      <c r="J44" s="3" t="s">
        <v>19</v>
      </c>
      <c r="K44" s="3" t="s">
        <v>28</v>
      </c>
    </row>
    <row r="45" customFormat="false" ht="15" hidden="false" customHeight="false" outlineLevel="0" collapsed="false">
      <c r="A45" s="7" t="s">
        <v>108</v>
      </c>
      <c r="B45" s="3" t="s">
        <v>199</v>
      </c>
      <c r="C45" s="4" t="s">
        <v>200</v>
      </c>
      <c r="D45" s="3" t="s">
        <v>218</v>
      </c>
      <c r="E45" s="4" t="s">
        <v>219</v>
      </c>
      <c r="F45" s="3" t="n">
        <v>5</v>
      </c>
      <c r="G45" s="4" t="s">
        <v>220</v>
      </c>
      <c r="H45" s="4" t="s">
        <v>221</v>
      </c>
      <c r="I45" s="3" t="s">
        <v>214</v>
      </c>
      <c r="J45" s="6" t="s">
        <v>79</v>
      </c>
      <c r="K45" s="5" t="s">
        <v>20</v>
      </c>
    </row>
    <row r="46" customFormat="false" ht="15" hidden="false" customHeight="false" outlineLevel="0" collapsed="false">
      <c r="A46" s="7" t="s">
        <v>108</v>
      </c>
      <c r="B46" s="3" t="s">
        <v>222</v>
      </c>
      <c r="C46" s="4" t="s">
        <v>223</v>
      </c>
      <c r="D46" s="3" t="s">
        <v>224</v>
      </c>
      <c r="E46" s="4" t="s">
        <v>225</v>
      </c>
      <c r="F46" s="3" t="n">
        <v>8</v>
      </c>
      <c r="G46" s="4" t="s">
        <v>226</v>
      </c>
      <c r="H46" s="4" t="s">
        <v>227</v>
      </c>
      <c r="I46" s="3" t="s">
        <v>228</v>
      </c>
      <c r="J46" s="6" t="s">
        <v>79</v>
      </c>
      <c r="K46" s="5" t="s">
        <v>20</v>
      </c>
    </row>
    <row r="47" customFormat="false" ht="15" hidden="false" customHeight="false" outlineLevel="0" collapsed="false">
      <c r="A47" s="7" t="s">
        <v>108</v>
      </c>
      <c r="B47" s="3" t="s">
        <v>222</v>
      </c>
      <c r="C47" s="4" t="s">
        <v>223</v>
      </c>
      <c r="D47" s="3" t="s">
        <v>229</v>
      </c>
      <c r="E47" s="4" t="s">
        <v>230</v>
      </c>
      <c r="F47" s="3" t="n">
        <v>5</v>
      </c>
      <c r="G47" s="4" t="s">
        <v>231</v>
      </c>
      <c r="H47" s="4" t="s">
        <v>232</v>
      </c>
      <c r="I47" s="3" t="s">
        <v>233</v>
      </c>
      <c r="J47" s="3" t="s">
        <v>19</v>
      </c>
      <c r="K47" s="3" t="s">
        <v>28</v>
      </c>
    </row>
    <row r="48" customFormat="false" ht="15" hidden="false" customHeight="false" outlineLevel="0" collapsed="false">
      <c r="A48" s="7" t="s">
        <v>108</v>
      </c>
      <c r="B48" s="3" t="s">
        <v>234</v>
      </c>
      <c r="C48" s="4" t="s">
        <v>235</v>
      </c>
      <c r="D48" s="3" t="s">
        <v>236</v>
      </c>
      <c r="E48" s="4" t="s">
        <v>237</v>
      </c>
      <c r="F48" s="3" t="n">
        <v>8</v>
      </c>
      <c r="G48" s="4" t="s">
        <v>238</v>
      </c>
      <c r="H48" s="4" t="s">
        <v>239</v>
      </c>
      <c r="I48" s="3" t="s">
        <v>224</v>
      </c>
      <c r="J48" s="6" t="s">
        <v>79</v>
      </c>
      <c r="K48" s="5" t="s">
        <v>20</v>
      </c>
    </row>
    <row r="49" customFormat="false" ht="15" hidden="false" customHeight="false" outlineLevel="0" collapsed="false">
      <c r="A49" s="7" t="s">
        <v>108</v>
      </c>
      <c r="B49" s="3" t="s">
        <v>234</v>
      </c>
      <c r="C49" s="4" t="s">
        <v>235</v>
      </c>
      <c r="D49" s="3" t="s">
        <v>240</v>
      </c>
      <c r="E49" s="4" t="s">
        <v>241</v>
      </c>
      <c r="F49" s="3" t="n">
        <v>8</v>
      </c>
      <c r="G49" s="4" t="s">
        <v>242</v>
      </c>
      <c r="H49" s="4" t="s">
        <v>243</v>
      </c>
      <c r="I49" s="3" t="s">
        <v>236</v>
      </c>
      <c r="J49" s="6" t="s">
        <v>79</v>
      </c>
      <c r="K49" s="5" t="s">
        <v>20</v>
      </c>
    </row>
    <row r="50" customFormat="false" ht="15" hidden="false" customHeight="false" outlineLevel="0" collapsed="false">
      <c r="A50" s="7" t="s">
        <v>108</v>
      </c>
      <c r="B50" s="3" t="s">
        <v>234</v>
      </c>
      <c r="C50" s="4" t="s">
        <v>235</v>
      </c>
      <c r="D50" s="3" t="s">
        <v>244</v>
      </c>
      <c r="E50" s="4" t="s">
        <v>245</v>
      </c>
      <c r="F50" s="3" t="n">
        <v>8</v>
      </c>
      <c r="G50" s="4" t="s">
        <v>246</v>
      </c>
      <c r="H50" s="4" t="s">
        <v>247</v>
      </c>
      <c r="I50" s="3" t="s">
        <v>240</v>
      </c>
      <c r="J50" s="6" t="s">
        <v>79</v>
      </c>
      <c r="K50" s="5" t="s">
        <v>20</v>
      </c>
    </row>
    <row r="51" customFormat="false" ht="23.85" hidden="false" customHeight="false" outlineLevel="0" collapsed="false">
      <c r="A51" s="7" t="s">
        <v>108</v>
      </c>
      <c r="B51" s="3" t="s">
        <v>234</v>
      </c>
      <c r="C51" s="4" t="s">
        <v>235</v>
      </c>
      <c r="D51" s="3" t="s">
        <v>248</v>
      </c>
      <c r="E51" s="4" t="s">
        <v>249</v>
      </c>
      <c r="F51" s="3" t="n">
        <v>5</v>
      </c>
      <c r="G51" s="4" t="s">
        <v>250</v>
      </c>
      <c r="H51" s="4" t="s">
        <v>251</v>
      </c>
      <c r="I51" s="3" t="s">
        <v>244</v>
      </c>
      <c r="J51" s="6" t="s">
        <v>79</v>
      </c>
      <c r="K51" s="5" t="s">
        <v>20</v>
      </c>
    </row>
    <row r="52" customFormat="false" ht="15" hidden="false" customHeight="false" outlineLevel="0" collapsed="false">
      <c r="A52" s="7" t="s">
        <v>108</v>
      </c>
      <c r="B52" s="3" t="s">
        <v>234</v>
      </c>
      <c r="C52" s="4" t="s">
        <v>235</v>
      </c>
      <c r="D52" s="3" t="s">
        <v>252</v>
      </c>
      <c r="E52" s="4" t="s">
        <v>253</v>
      </c>
      <c r="F52" s="3" t="n">
        <v>5</v>
      </c>
      <c r="G52" s="4" t="s">
        <v>254</v>
      </c>
      <c r="H52" s="4" t="s">
        <v>255</v>
      </c>
      <c r="I52" s="3" t="s">
        <v>256</v>
      </c>
      <c r="J52" s="3" t="s">
        <v>19</v>
      </c>
      <c r="K52" s="3" t="s">
        <v>28</v>
      </c>
    </row>
    <row r="53" customFormat="false" ht="15" hidden="false" customHeight="false" outlineLevel="0" collapsed="false">
      <c r="A53" s="7" t="s">
        <v>108</v>
      </c>
      <c r="B53" s="3" t="s">
        <v>257</v>
      </c>
      <c r="C53" s="4" t="s">
        <v>258</v>
      </c>
      <c r="D53" s="3" t="s">
        <v>259</v>
      </c>
      <c r="E53" s="4" t="s">
        <v>260</v>
      </c>
      <c r="F53" s="3" t="n">
        <v>8</v>
      </c>
      <c r="G53" s="4" t="s">
        <v>261</v>
      </c>
      <c r="H53" s="4" t="s">
        <v>262</v>
      </c>
      <c r="I53" s="3" t="s">
        <v>39</v>
      </c>
      <c r="J53" s="6" t="s">
        <v>79</v>
      </c>
      <c r="K53" s="5" t="s">
        <v>20</v>
      </c>
    </row>
    <row r="54" customFormat="false" ht="15" hidden="false" customHeight="false" outlineLevel="0" collapsed="false">
      <c r="A54" s="7" t="s">
        <v>108</v>
      </c>
      <c r="B54" s="3" t="s">
        <v>257</v>
      </c>
      <c r="C54" s="4" t="s">
        <v>258</v>
      </c>
      <c r="D54" s="3" t="s">
        <v>263</v>
      </c>
      <c r="E54" s="4" t="s">
        <v>264</v>
      </c>
      <c r="F54" s="3" t="n">
        <v>8</v>
      </c>
      <c r="G54" s="4" t="s">
        <v>265</v>
      </c>
      <c r="H54" s="4" t="s">
        <v>266</v>
      </c>
      <c r="I54" s="3" t="s">
        <v>259</v>
      </c>
      <c r="J54" s="6" t="s">
        <v>79</v>
      </c>
      <c r="K54" s="5" t="s">
        <v>20</v>
      </c>
    </row>
    <row r="55" customFormat="false" ht="15" hidden="false" customHeight="false" outlineLevel="0" collapsed="false">
      <c r="A55" s="7" t="s">
        <v>108</v>
      </c>
      <c r="B55" s="3" t="s">
        <v>257</v>
      </c>
      <c r="C55" s="4" t="s">
        <v>258</v>
      </c>
      <c r="D55" s="3" t="s">
        <v>267</v>
      </c>
      <c r="E55" s="4" t="s">
        <v>268</v>
      </c>
      <c r="F55" s="3" t="n">
        <v>5</v>
      </c>
      <c r="G55" s="4" t="s">
        <v>269</v>
      </c>
      <c r="H55" s="4" t="s">
        <v>270</v>
      </c>
      <c r="I55" s="3" t="s">
        <v>263</v>
      </c>
      <c r="J55" s="6" t="s">
        <v>79</v>
      </c>
      <c r="K55" s="5" t="s">
        <v>20</v>
      </c>
    </row>
    <row r="56" customFormat="false" ht="15" hidden="false" customHeight="false" outlineLevel="0" collapsed="false">
      <c r="A56" s="8" t="s">
        <v>271</v>
      </c>
      <c r="B56" s="3" t="s">
        <v>272</v>
      </c>
      <c r="C56" s="4" t="s">
        <v>273</v>
      </c>
      <c r="D56" s="3" t="s">
        <v>274</v>
      </c>
      <c r="E56" s="4" t="s">
        <v>275</v>
      </c>
      <c r="F56" s="3" t="n">
        <v>8</v>
      </c>
      <c r="G56" s="4" t="s">
        <v>276</v>
      </c>
      <c r="H56" s="4" t="s">
        <v>277</v>
      </c>
      <c r="I56" s="3" t="s">
        <v>244</v>
      </c>
      <c r="J56" s="3" t="s">
        <v>19</v>
      </c>
      <c r="K56" s="5" t="s">
        <v>20</v>
      </c>
    </row>
    <row r="57" customFormat="false" ht="23.85" hidden="false" customHeight="false" outlineLevel="0" collapsed="false">
      <c r="A57" s="8" t="s">
        <v>271</v>
      </c>
      <c r="B57" s="3" t="s">
        <v>272</v>
      </c>
      <c r="C57" s="4" t="s">
        <v>273</v>
      </c>
      <c r="D57" s="3" t="s">
        <v>278</v>
      </c>
      <c r="E57" s="4" t="s">
        <v>279</v>
      </c>
      <c r="F57" s="3" t="n">
        <v>13</v>
      </c>
      <c r="G57" s="4" t="s">
        <v>280</v>
      </c>
      <c r="H57" s="4" t="s">
        <v>281</v>
      </c>
      <c r="I57" s="3" t="s">
        <v>274</v>
      </c>
      <c r="J57" s="6" t="s">
        <v>79</v>
      </c>
      <c r="K57" s="5" t="s">
        <v>20</v>
      </c>
    </row>
    <row r="58" customFormat="false" ht="15" hidden="false" customHeight="false" outlineLevel="0" collapsed="false">
      <c r="A58" s="8" t="s">
        <v>271</v>
      </c>
      <c r="B58" s="3" t="s">
        <v>272</v>
      </c>
      <c r="C58" s="4" t="s">
        <v>273</v>
      </c>
      <c r="D58" s="3" t="s">
        <v>282</v>
      </c>
      <c r="E58" s="4" t="s">
        <v>283</v>
      </c>
      <c r="F58" s="3" t="n">
        <v>8</v>
      </c>
      <c r="G58" s="4" t="s">
        <v>284</v>
      </c>
      <c r="H58" s="4" t="s">
        <v>285</v>
      </c>
      <c r="I58" s="3" t="s">
        <v>278</v>
      </c>
      <c r="J58" s="3" t="s">
        <v>19</v>
      </c>
      <c r="K58" s="3" t="s">
        <v>28</v>
      </c>
    </row>
    <row r="59" customFormat="false" ht="15" hidden="false" customHeight="false" outlineLevel="0" collapsed="false">
      <c r="A59" s="8" t="s">
        <v>271</v>
      </c>
      <c r="B59" s="3" t="s">
        <v>272</v>
      </c>
      <c r="C59" s="4" t="s">
        <v>273</v>
      </c>
      <c r="D59" s="3" t="s">
        <v>286</v>
      </c>
      <c r="E59" s="4" t="s">
        <v>287</v>
      </c>
      <c r="F59" s="3" t="n">
        <v>5</v>
      </c>
      <c r="G59" s="4" t="s">
        <v>288</v>
      </c>
      <c r="H59" s="4" t="s">
        <v>289</v>
      </c>
      <c r="I59" s="3" t="s">
        <v>282</v>
      </c>
      <c r="J59" s="3" t="s">
        <v>19</v>
      </c>
      <c r="K59" s="3" t="s">
        <v>28</v>
      </c>
    </row>
    <row r="60" customFormat="false" ht="15" hidden="false" customHeight="false" outlineLevel="0" collapsed="false">
      <c r="A60" s="8" t="s">
        <v>271</v>
      </c>
      <c r="B60" s="3" t="s">
        <v>290</v>
      </c>
      <c r="C60" s="4" t="s">
        <v>291</v>
      </c>
      <c r="D60" s="3" t="s">
        <v>292</v>
      </c>
      <c r="E60" s="4" t="s">
        <v>293</v>
      </c>
      <c r="F60" s="3" t="n">
        <v>5</v>
      </c>
      <c r="G60" s="4" t="s">
        <v>294</v>
      </c>
      <c r="H60" s="4" t="s">
        <v>295</v>
      </c>
      <c r="I60" s="3" t="s">
        <v>282</v>
      </c>
      <c r="J60" s="3" t="s">
        <v>19</v>
      </c>
      <c r="K60" s="3" t="s">
        <v>28</v>
      </c>
    </row>
    <row r="61" customFormat="false" ht="15" hidden="false" customHeight="false" outlineLevel="0" collapsed="false">
      <c r="A61" s="8" t="s">
        <v>271</v>
      </c>
      <c r="B61" s="3" t="s">
        <v>290</v>
      </c>
      <c r="C61" s="4" t="s">
        <v>291</v>
      </c>
      <c r="D61" s="3" t="s">
        <v>296</v>
      </c>
      <c r="E61" s="4" t="s">
        <v>297</v>
      </c>
      <c r="F61" s="3" t="n">
        <v>8</v>
      </c>
      <c r="G61" s="4" t="s">
        <v>298</v>
      </c>
      <c r="H61" s="4" t="s">
        <v>299</v>
      </c>
      <c r="I61" s="3" t="s">
        <v>300</v>
      </c>
      <c r="J61" s="6" t="s">
        <v>79</v>
      </c>
      <c r="K61" s="5" t="s">
        <v>20</v>
      </c>
    </row>
    <row r="62" customFormat="false" ht="15" hidden="false" customHeight="false" outlineLevel="0" collapsed="false">
      <c r="A62" s="8" t="s">
        <v>271</v>
      </c>
      <c r="B62" s="3" t="s">
        <v>290</v>
      </c>
      <c r="C62" s="4" t="s">
        <v>291</v>
      </c>
      <c r="D62" s="3" t="s">
        <v>301</v>
      </c>
      <c r="E62" s="4" t="s">
        <v>302</v>
      </c>
      <c r="F62" s="3" t="n">
        <v>8</v>
      </c>
      <c r="G62" s="4" t="s">
        <v>303</v>
      </c>
      <c r="H62" s="4" t="s">
        <v>304</v>
      </c>
      <c r="I62" s="3" t="s">
        <v>296</v>
      </c>
      <c r="J62" s="3" t="s">
        <v>19</v>
      </c>
      <c r="K62" s="3" t="s">
        <v>28</v>
      </c>
    </row>
    <row r="63" customFormat="false" ht="23.85" hidden="false" customHeight="false" outlineLevel="0" collapsed="false">
      <c r="A63" s="8" t="s">
        <v>271</v>
      </c>
      <c r="B63" s="3" t="s">
        <v>305</v>
      </c>
      <c r="C63" s="4" t="s">
        <v>306</v>
      </c>
      <c r="D63" s="3" t="s">
        <v>307</v>
      </c>
      <c r="E63" s="4" t="s">
        <v>308</v>
      </c>
      <c r="F63" s="3" t="n">
        <v>5</v>
      </c>
      <c r="G63" s="4" t="s">
        <v>309</v>
      </c>
      <c r="H63" s="4" t="s">
        <v>310</v>
      </c>
      <c r="I63" s="3" t="s">
        <v>292</v>
      </c>
      <c r="J63" s="3" t="s">
        <v>19</v>
      </c>
      <c r="K63" s="3" t="s">
        <v>28</v>
      </c>
    </row>
    <row r="64" customFormat="false" ht="23.85" hidden="false" customHeight="false" outlineLevel="0" collapsed="false">
      <c r="A64" s="8" t="s">
        <v>271</v>
      </c>
      <c r="B64" s="3" t="s">
        <v>305</v>
      </c>
      <c r="C64" s="4" t="s">
        <v>306</v>
      </c>
      <c r="D64" s="3" t="s">
        <v>311</v>
      </c>
      <c r="E64" s="4" t="s">
        <v>312</v>
      </c>
      <c r="F64" s="3" t="n">
        <v>8</v>
      </c>
      <c r="G64" s="4" t="s">
        <v>313</v>
      </c>
      <c r="H64" s="4" t="s">
        <v>314</v>
      </c>
      <c r="I64" s="3" t="s">
        <v>307</v>
      </c>
      <c r="J64" s="3" t="s">
        <v>19</v>
      </c>
      <c r="K64" s="5" t="s">
        <v>20</v>
      </c>
    </row>
    <row r="65" customFormat="false" ht="15" hidden="false" customHeight="false" outlineLevel="0" collapsed="false">
      <c r="A65" s="8" t="s">
        <v>271</v>
      </c>
      <c r="B65" s="3" t="s">
        <v>305</v>
      </c>
      <c r="C65" s="4" t="s">
        <v>306</v>
      </c>
      <c r="D65" s="3" t="s">
        <v>315</v>
      </c>
      <c r="E65" s="4" t="s">
        <v>316</v>
      </c>
      <c r="F65" s="3" t="n">
        <v>5</v>
      </c>
      <c r="G65" s="4" t="s">
        <v>317</v>
      </c>
      <c r="H65" s="4" t="s">
        <v>318</v>
      </c>
      <c r="I65" s="3" t="s">
        <v>278</v>
      </c>
      <c r="J65" s="3" t="s">
        <v>19</v>
      </c>
      <c r="K65" s="5" t="s">
        <v>20</v>
      </c>
    </row>
    <row r="66" customFormat="false" ht="15" hidden="false" customHeight="false" outlineLevel="0" collapsed="false">
      <c r="A66" s="8" t="s">
        <v>271</v>
      </c>
      <c r="B66" s="3" t="s">
        <v>305</v>
      </c>
      <c r="C66" s="4" t="s">
        <v>306</v>
      </c>
      <c r="D66" s="3" t="s">
        <v>319</v>
      </c>
      <c r="E66" s="4" t="s">
        <v>320</v>
      </c>
      <c r="F66" s="3" t="n">
        <v>3</v>
      </c>
      <c r="G66" s="4" t="s">
        <v>321</v>
      </c>
      <c r="H66" s="4" t="s">
        <v>322</v>
      </c>
      <c r="I66" s="3" t="s">
        <v>311</v>
      </c>
      <c r="J66" s="6" t="s">
        <v>79</v>
      </c>
      <c r="K66" s="3" t="s">
        <v>28</v>
      </c>
    </row>
    <row r="67" customFormat="false" ht="15" hidden="false" customHeight="false" outlineLevel="0" collapsed="false">
      <c r="A67" s="8" t="s">
        <v>271</v>
      </c>
      <c r="B67" s="3" t="s">
        <v>323</v>
      </c>
      <c r="C67" s="4" t="s">
        <v>324</v>
      </c>
      <c r="D67" s="3" t="s">
        <v>325</v>
      </c>
      <c r="E67" s="4" t="s">
        <v>326</v>
      </c>
      <c r="F67" s="3" t="n">
        <v>13</v>
      </c>
      <c r="G67" s="4" t="s">
        <v>327</v>
      </c>
      <c r="H67" s="4" t="s">
        <v>328</v>
      </c>
      <c r="I67" s="3" t="s">
        <v>329</v>
      </c>
      <c r="J67" s="6" t="s">
        <v>79</v>
      </c>
      <c r="K67" s="5" t="s">
        <v>20</v>
      </c>
    </row>
    <row r="68" customFormat="false" ht="15" hidden="false" customHeight="false" outlineLevel="0" collapsed="false">
      <c r="A68" s="8" t="s">
        <v>271</v>
      </c>
      <c r="B68" s="3" t="s">
        <v>323</v>
      </c>
      <c r="C68" s="4" t="s">
        <v>324</v>
      </c>
      <c r="D68" s="3" t="s">
        <v>330</v>
      </c>
      <c r="E68" s="4" t="s">
        <v>331</v>
      </c>
      <c r="F68" s="3" t="n">
        <v>8</v>
      </c>
      <c r="G68" s="4" t="s">
        <v>332</v>
      </c>
      <c r="H68" s="4" t="s">
        <v>333</v>
      </c>
      <c r="I68" s="3" t="s">
        <v>325</v>
      </c>
      <c r="J68" s="6" t="s">
        <v>79</v>
      </c>
      <c r="K68" s="5" t="s">
        <v>20</v>
      </c>
    </row>
    <row r="69" customFormat="false" ht="15" hidden="false" customHeight="false" outlineLevel="0" collapsed="false">
      <c r="A69" s="8" t="s">
        <v>271</v>
      </c>
      <c r="B69" s="3" t="s">
        <v>323</v>
      </c>
      <c r="C69" s="4" t="s">
        <v>324</v>
      </c>
      <c r="D69" s="3" t="s">
        <v>334</v>
      </c>
      <c r="E69" s="4" t="s">
        <v>335</v>
      </c>
      <c r="F69" s="3" t="n">
        <v>8</v>
      </c>
      <c r="G69" s="4" t="s">
        <v>336</v>
      </c>
      <c r="H69" s="4" t="s">
        <v>337</v>
      </c>
      <c r="I69" s="3" t="s">
        <v>338</v>
      </c>
      <c r="J69" s="6" t="s">
        <v>79</v>
      </c>
      <c r="K69" s="5" t="s">
        <v>20</v>
      </c>
    </row>
    <row r="70" customFormat="false" ht="15" hidden="false" customHeight="false" outlineLevel="0" collapsed="false">
      <c r="A70" s="8" t="s">
        <v>271</v>
      </c>
      <c r="B70" s="3" t="s">
        <v>323</v>
      </c>
      <c r="C70" s="4" t="s">
        <v>324</v>
      </c>
      <c r="D70" s="3" t="s">
        <v>339</v>
      </c>
      <c r="E70" s="4" t="s">
        <v>340</v>
      </c>
      <c r="F70" s="3" t="n">
        <v>5</v>
      </c>
      <c r="G70" s="4" t="s">
        <v>341</v>
      </c>
      <c r="H70" s="4" t="s">
        <v>342</v>
      </c>
      <c r="I70" s="3" t="s">
        <v>343</v>
      </c>
      <c r="J70" s="3" t="s">
        <v>19</v>
      </c>
      <c r="K70" s="3" t="s">
        <v>28</v>
      </c>
    </row>
    <row r="71" customFormat="false" ht="15" hidden="false" customHeight="false" outlineLevel="0" collapsed="false">
      <c r="A71" s="8" t="s">
        <v>271</v>
      </c>
      <c r="B71" s="3" t="s">
        <v>344</v>
      </c>
      <c r="C71" s="4" t="s">
        <v>345</v>
      </c>
      <c r="D71" s="3" t="s">
        <v>346</v>
      </c>
      <c r="E71" s="4" t="s">
        <v>347</v>
      </c>
      <c r="F71" s="3" t="n">
        <v>5</v>
      </c>
      <c r="G71" s="4" t="s">
        <v>348</v>
      </c>
      <c r="H71" s="4" t="s">
        <v>349</v>
      </c>
      <c r="I71" s="3" t="s">
        <v>111</v>
      </c>
      <c r="J71" s="3" t="s">
        <v>19</v>
      </c>
      <c r="K71" s="5" t="s">
        <v>20</v>
      </c>
    </row>
    <row r="72" customFormat="false" ht="15" hidden="false" customHeight="false" outlineLevel="0" collapsed="false">
      <c r="A72" s="8" t="s">
        <v>271</v>
      </c>
      <c r="B72" s="3" t="s">
        <v>344</v>
      </c>
      <c r="C72" s="4" t="s">
        <v>345</v>
      </c>
      <c r="D72" s="3" t="s">
        <v>350</v>
      </c>
      <c r="E72" s="4" t="s">
        <v>351</v>
      </c>
      <c r="F72" s="3" t="n">
        <v>5</v>
      </c>
      <c r="G72" s="4" t="s">
        <v>352</v>
      </c>
      <c r="H72" s="4" t="s">
        <v>353</v>
      </c>
      <c r="I72" s="3" t="s">
        <v>346</v>
      </c>
      <c r="J72" s="3" t="s">
        <v>19</v>
      </c>
      <c r="K72" s="3" t="s">
        <v>28</v>
      </c>
    </row>
    <row r="73" customFormat="false" ht="15" hidden="false" customHeight="false" outlineLevel="0" collapsed="false">
      <c r="A73" s="8" t="s">
        <v>271</v>
      </c>
      <c r="B73" s="3" t="s">
        <v>344</v>
      </c>
      <c r="C73" s="4" t="s">
        <v>345</v>
      </c>
      <c r="D73" s="3" t="s">
        <v>354</v>
      </c>
      <c r="E73" s="4" t="s">
        <v>355</v>
      </c>
      <c r="F73" s="3" t="n">
        <v>8</v>
      </c>
      <c r="G73" s="4" t="s">
        <v>356</v>
      </c>
      <c r="H73" s="4" t="s">
        <v>357</v>
      </c>
      <c r="I73" s="3" t="s">
        <v>358</v>
      </c>
      <c r="J73" s="6" t="s">
        <v>79</v>
      </c>
      <c r="K73" s="5" t="s">
        <v>20</v>
      </c>
    </row>
    <row r="74" customFormat="false" ht="15" hidden="false" customHeight="false" outlineLevel="0" collapsed="false">
      <c r="A74" s="8" t="s">
        <v>271</v>
      </c>
      <c r="B74" s="3" t="s">
        <v>344</v>
      </c>
      <c r="C74" s="4" t="s">
        <v>345</v>
      </c>
      <c r="D74" s="3" t="s">
        <v>359</v>
      </c>
      <c r="E74" s="4" t="s">
        <v>360</v>
      </c>
      <c r="F74" s="3" t="n">
        <v>3</v>
      </c>
      <c r="G74" s="4" t="s">
        <v>361</v>
      </c>
      <c r="H74" s="4" t="s">
        <v>362</v>
      </c>
      <c r="I74" s="3" t="s">
        <v>263</v>
      </c>
      <c r="J74" s="6" t="s">
        <v>79</v>
      </c>
      <c r="K74" s="5" t="s">
        <v>20</v>
      </c>
    </row>
    <row r="75" customFormat="false" ht="15" hidden="false" customHeight="false" outlineLevel="0" collapsed="false">
      <c r="A75" s="9" t="s">
        <v>363</v>
      </c>
      <c r="B75" s="3" t="s">
        <v>364</v>
      </c>
      <c r="C75" s="4" t="s">
        <v>365</v>
      </c>
      <c r="D75" s="3" t="s">
        <v>366</v>
      </c>
      <c r="E75" s="4" t="s">
        <v>367</v>
      </c>
      <c r="F75" s="3" t="n">
        <v>8</v>
      </c>
      <c r="G75" s="4" t="s">
        <v>368</v>
      </c>
      <c r="H75" s="4" t="s">
        <v>369</v>
      </c>
      <c r="I75" s="3" t="s">
        <v>263</v>
      </c>
      <c r="J75" s="3" t="s">
        <v>19</v>
      </c>
      <c r="K75" s="5" t="s">
        <v>20</v>
      </c>
    </row>
    <row r="76" customFormat="false" ht="15" hidden="false" customHeight="false" outlineLevel="0" collapsed="false">
      <c r="A76" s="9" t="s">
        <v>363</v>
      </c>
      <c r="B76" s="3" t="s">
        <v>364</v>
      </c>
      <c r="C76" s="4" t="s">
        <v>365</v>
      </c>
      <c r="D76" s="3" t="s">
        <v>370</v>
      </c>
      <c r="E76" s="4" t="s">
        <v>371</v>
      </c>
      <c r="F76" s="3" t="n">
        <v>8</v>
      </c>
      <c r="G76" s="4" t="s">
        <v>372</v>
      </c>
      <c r="H76" s="4" t="s">
        <v>373</v>
      </c>
      <c r="I76" s="3" t="s">
        <v>366</v>
      </c>
      <c r="J76" s="3" t="s">
        <v>19</v>
      </c>
      <c r="K76" s="5" t="s">
        <v>20</v>
      </c>
    </row>
    <row r="77" customFormat="false" ht="15" hidden="false" customHeight="false" outlineLevel="0" collapsed="false">
      <c r="A77" s="9" t="s">
        <v>363</v>
      </c>
      <c r="B77" s="3" t="s">
        <v>364</v>
      </c>
      <c r="C77" s="4" t="s">
        <v>365</v>
      </c>
      <c r="D77" s="3" t="s">
        <v>374</v>
      </c>
      <c r="E77" s="4" t="s">
        <v>375</v>
      </c>
      <c r="F77" s="3" t="n">
        <v>5</v>
      </c>
      <c r="G77" s="4" t="s">
        <v>376</v>
      </c>
      <c r="H77" s="4" t="s">
        <v>377</v>
      </c>
      <c r="I77" s="3" t="s">
        <v>370</v>
      </c>
      <c r="J77" s="3" t="s">
        <v>19</v>
      </c>
      <c r="K77" s="3" t="s">
        <v>28</v>
      </c>
    </row>
    <row r="78" customFormat="false" ht="15" hidden="false" customHeight="false" outlineLevel="0" collapsed="false">
      <c r="A78" s="9" t="s">
        <v>363</v>
      </c>
      <c r="B78" s="3" t="s">
        <v>364</v>
      </c>
      <c r="C78" s="4" t="s">
        <v>365</v>
      </c>
      <c r="D78" s="3" t="s">
        <v>378</v>
      </c>
      <c r="E78" s="4" t="s">
        <v>379</v>
      </c>
      <c r="F78" s="3" t="n">
        <v>5</v>
      </c>
      <c r="G78" s="4" t="s">
        <v>380</v>
      </c>
      <c r="H78" s="4" t="s">
        <v>381</v>
      </c>
      <c r="I78" s="3" t="s">
        <v>374</v>
      </c>
      <c r="J78" s="3" t="s">
        <v>19</v>
      </c>
      <c r="K78" s="5" t="s">
        <v>20</v>
      </c>
    </row>
    <row r="79" customFormat="false" ht="15" hidden="false" customHeight="false" outlineLevel="0" collapsed="false">
      <c r="A79" s="9" t="s">
        <v>363</v>
      </c>
      <c r="B79" s="3" t="s">
        <v>382</v>
      </c>
      <c r="C79" s="4" t="s">
        <v>383</v>
      </c>
      <c r="D79" s="3" t="s">
        <v>384</v>
      </c>
      <c r="E79" s="4" t="s">
        <v>385</v>
      </c>
      <c r="F79" s="3" t="n">
        <v>8</v>
      </c>
      <c r="G79" s="4" t="s">
        <v>386</v>
      </c>
      <c r="H79" s="4" t="s">
        <v>387</v>
      </c>
      <c r="I79" s="3" t="s">
        <v>39</v>
      </c>
      <c r="J79" s="3" t="s">
        <v>19</v>
      </c>
      <c r="K79" s="5" t="s">
        <v>20</v>
      </c>
    </row>
    <row r="80" customFormat="false" ht="15" hidden="false" customHeight="false" outlineLevel="0" collapsed="false">
      <c r="A80" s="9" t="s">
        <v>363</v>
      </c>
      <c r="B80" s="3" t="s">
        <v>382</v>
      </c>
      <c r="C80" s="4" t="s">
        <v>383</v>
      </c>
      <c r="D80" s="3" t="s">
        <v>388</v>
      </c>
      <c r="E80" s="4" t="s">
        <v>389</v>
      </c>
      <c r="F80" s="3" t="n">
        <v>5</v>
      </c>
      <c r="G80" s="4" t="s">
        <v>390</v>
      </c>
      <c r="H80" s="4" t="s">
        <v>391</v>
      </c>
      <c r="I80" s="3" t="s">
        <v>366</v>
      </c>
      <c r="J80" s="3" t="s">
        <v>19</v>
      </c>
      <c r="K80" s="5" t="s">
        <v>20</v>
      </c>
    </row>
    <row r="81" customFormat="false" ht="15" hidden="false" customHeight="false" outlineLevel="0" collapsed="false">
      <c r="A81" s="9" t="s">
        <v>363</v>
      </c>
      <c r="B81" s="3" t="s">
        <v>382</v>
      </c>
      <c r="C81" s="4" t="s">
        <v>383</v>
      </c>
      <c r="D81" s="3" t="s">
        <v>392</v>
      </c>
      <c r="E81" s="4" t="s">
        <v>393</v>
      </c>
      <c r="F81" s="3" t="n">
        <v>5</v>
      </c>
      <c r="G81" s="4" t="s">
        <v>394</v>
      </c>
      <c r="H81" s="4" t="s">
        <v>395</v>
      </c>
      <c r="I81" s="3" t="s">
        <v>396</v>
      </c>
      <c r="J81" s="3" t="s">
        <v>19</v>
      </c>
      <c r="K81" s="3" t="s">
        <v>28</v>
      </c>
    </row>
    <row r="82" customFormat="false" ht="15" hidden="false" customHeight="false" outlineLevel="0" collapsed="false">
      <c r="A82" s="9" t="s">
        <v>363</v>
      </c>
      <c r="B82" s="3" t="s">
        <v>382</v>
      </c>
      <c r="C82" s="4" t="s">
        <v>383</v>
      </c>
      <c r="D82" s="3" t="s">
        <v>397</v>
      </c>
      <c r="E82" s="4" t="s">
        <v>398</v>
      </c>
      <c r="F82" s="3" t="n">
        <v>3</v>
      </c>
      <c r="G82" s="4" t="s">
        <v>399</v>
      </c>
      <c r="H82" s="4" t="s">
        <v>400</v>
      </c>
      <c r="I82" s="3" t="s">
        <v>384</v>
      </c>
      <c r="J82" s="3" t="s">
        <v>19</v>
      </c>
      <c r="K82" s="3" t="s">
        <v>28</v>
      </c>
    </row>
    <row r="83" customFormat="false" ht="15" hidden="false" customHeight="false" outlineLevel="0" collapsed="false">
      <c r="A83" s="9" t="s">
        <v>363</v>
      </c>
      <c r="B83" s="3" t="s">
        <v>401</v>
      </c>
      <c r="C83" s="4" t="s">
        <v>402</v>
      </c>
      <c r="D83" s="3" t="s">
        <v>403</v>
      </c>
      <c r="E83" s="4" t="s">
        <v>404</v>
      </c>
      <c r="F83" s="3" t="n">
        <v>8</v>
      </c>
      <c r="G83" s="4" t="s">
        <v>405</v>
      </c>
      <c r="H83" s="4" t="s">
        <v>406</v>
      </c>
      <c r="I83" s="3" t="s">
        <v>39</v>
      </c>
      <c r="J83" s="3" t="s">
        <v>19</v>
      </c>
      <c r="K83" s="3" t="s">
        <v>28</v>
      </c>
    </row>
    <row r="84" customFormat="false" ht="15" hidden="false" customHeight="false" outlineLevel="0" collapsed="false">
      <c r="A84" s="9" t="s">
        <v>363</v>
      </c>
      <c r="B84" s="3" t="s">
        <v>401</v>
      </c>
      <c r="C84" s="4" t="s">
        <v>402</v>
      </c>
      <c r="D84" s="3" t="s">
        <v>407</v>
      </c>
      <c r="E84" s="4" t="s">
        <v>408</v>
      </c>
      <c r="F84" s="3" t="n">
        <v>8</v>
      </c>
      <c r="G84" s="4" t="s">
        <v>409</v>
      </c>
      <c r="H84" s="4" t="s">
        <v>410</v>
      </c>
      <c r="I84" s="3" t="s">
        <v>403</v>
      </c>
      <c r="J84" s="3" t="s">
        <v>19</v>
      </c>
      <c r="K84" s="3" t="s">
        <v>28</v>
      </c>
    </row>
    <row r="85" customFormat="false" ht="15" hidden="false" customHeight="false" outlineLevel="0" collapsed="false">
      <c r="A85" s="9" t="s">
        <v>363</v>
      </c>
      <c r="B85" s="3" t="s">
        <v>401</v>
      </c>
      <c r="C85" s="4" t="s">
        <v>402</v>
      </c>
      <c r="D85" s="3" t="s">
        <v>411</v>
      </c>
      <c r="E85" s="4" t="s">
        <v>412</v>
      </c>
      <c r="F85" s="3" t="n">
        <v>5</v>
      </c>
      <c r="G85" s="4" t="s">
        <v>413</v>
      </c>
      <c r="H85" s="4" t="s">
        <v>414</v>
      </c>
      <c r="I85" s="3" t="s">
        <v>403</v>
      </c>
      <c r="J85" s="3" t="s">
        <v>19</v>
      </c>
      <c r="K85" s="5" t="s">
        <v>20</v>
      </c>
    </row>
    <row r="86" customFormat="false" ht="15" hidden="false" customHeight="false" outlineLevel="0" collapsed="false">
      <c r="A86" s="9" t="s">
        <v>363</v>
      </c>
      <c r="B86" s="3" t="s">
        <v>415</v>
      </c>
      <c r="C86" s="4" t="s">
        <v>416</v>
      </c>
      <c r="D86" s="3" t="s">
        <v>417</v>
      </c>
      <c r="E86" s="4" t="s">
        <v>418</v>
      </c>
      <c r="F86" s="3" t="n">
        <v>8</v>
      </c>
      <c r="G86" s="4" t="s">
        <v>419</v>
      </c>
      <c r="H86" s="4" t="s">
        <v>420</v>
      </c>
      <c r="I86" s="3" t="s">
        <v>403</v>
      </c>
      <c r="J86" s="3" t="s">
        <v>19</v>
      </c>
      <c r="K86" s="5" t="s">
        <v>20</v>
      </c>
    </row>
    <row r="87" customFormat="false" ht="15" hidden="false" customHeight="false" outlineLevel="0" collapsed="false">
      <c r="A87" s="9" t="s">
        <v>363</v>
      </c>
      <c r="B87" s="3" t="s">
        <v>415</v>
      </c>
      <c r="C87" s="4" t="s">
        <v>416</v>
      </c>
      <c r="D87" s="3" t="s">
        <v>421</v>
      </c>
      <c r="E87" s="4" t="s">
        <v>422</v>
      </c>
      <c r="F87" s="3" t="n">
        <v>5</v>
      </c>
      <c r="G87" s="4" t="s">
        <v>423</v>
      </c>
      <c r="H87" s="4" t="s">
        <v>424</v>
      </c>
      <c r="I87" s="3" t="s">
        <v>417</v>
      </c>
      <c r="J87" s="3" t="s">
        <v>19</v>
      </c>
      <c r="K87" s="3" t="s">
        <v>28</v>
      </c>
    </row>
    <row r="88" customFormat="false" ht="15" hidden="false" customHeight="false" outlineLevel="0" collapsed="false">
      <c r="A88" s="9" t="s">
        <v>363</v>
      </c>
      <c r="B88" s="3" t="s">
        <v>425</v>
      </c>
      <c r="C88" s="4" t="s">
        <v>426</v>
      </c>
      <c r="D88" s="3" t="s">
        <v>427</v>
      </c>
      <c r="E88" s="4" t="s">
        <v>428</v>
      </c>
      <c r="F88" s="3" t="n">
        <v>8</v>
      </c>
      <c r="G88" s="4" t="s">
        <v>429</v>
      </c>
      <c r="H88" s="4" t="s">
        <v>430</v>
      </c>
      <c r="I88" s="3" t="s">
        <v>156</v>
      </c>
      <c r="J88" s="3" t="s">
        <v>19</v>
      </c>
      <c r="K88" s="3" t="s">
        <v>28</v>
      </c>
    </row>
    <row r="89" customFormat="false" ht="15" hidden="false" customHeight="false" outlineLevel="0" collapsed="false">
      <c r="A89" s="9" t="s">
        <v>363</v>
      </c>
      <c r="B89" s="3" t="s">
        <v>425</v>
      </c>
      <c r="C89" s="4" t="s">
        <v>426</v>
      </c>
      <c r="D89" s="3" t="s">
        <v>431</v>
      </c>
      <c r="E89" s="4" t="s">
        <v>432</v>
      </c>
      <c r="F89" s="3" t="n">
        <v>8</v>
      </c>
      <c r="G89" s="4" t="s">
        <v>433</v>
      </c>
      <c r="H89" s="4" t="s">
        <v>434</v>
      </c>
      <c r="I89" s="3" t="s">
        <v>427</v>
      </c>
      <c r="J89" s="3" t="s">
        <v>19</v>
      </c>
      <c r="K89" s="3" t="s">
        <v>28</v>
      </c>
    </row>
    <row r="90" customFormat="false" ht="15" hidden="false" customHeight="false" outlineLevel="0" collapsed="false">
      <c r="A90" s="9" t="s">
        <v>363</v>
      </c>
      <c r="B90" s="3" t="s">
        <v>425</v>
      </c>
      <c r="C90" s="4" t="s">
        <v>426</v>
      </c>
      <c r="D90" s="3" t="s">
        <v>435</v>
      </c>
      <c r="E90" s="4" t="s">
        <v>436</v>
      </c>
      <c r="F90" s="3" t="n">
        <v>5</v>
      </c>
      <c r="G90" s="4" t="s">
        <v>437</v>
      </c>
      <c r="H90" s="4" t="s">
        <v>438</v>
      </c>
      <c r="I90" s="3" t="s">
        <v>431</v>
      </c>
      <c r="J90" s="3" t="s">
        <v>19</v>
      </c>
      <c r="K90" s="3" t="s">
        <v>439</v>
      </c>
    </row>
    <row r="91" customFormat="false" ht="15" hidden="false" customHeight="false" outlineLevel="0" collapsed="false">
      <c r="A91" s="10" t="s">
        <v>440</v>
      </c>
      <c r="B91" s="3" t="s">
        <v>441</v>
      </c>
      <c r="C91" s="4" t="s">
        <v>442</v>
      </c>
      <c r="D91" s="3" t="s">
        <v>443</v>
      </c>
      <c r="E91" s="4" t="s">
        <v>444</v>
      </c>
      <c r="F91" s="3" t="n">
        <v>8</v>
      </c>
      <c r="G91" s="4" t="s">
        <v>445</v>
      </c>
      <c r="H91" s="4" t="s">
        <v>446</v>
      </c>
      <c r="I91" s="3" t="s">
        <v>132</v>
      </c>
      <c r="J91" s="3" t="s">
        <v>19</v>
      </c>
      <c r="K91" s="3" t="s">
        <v>439</v>
      </c>
    </row>
    <row r="92" customFormat="false" ht="15" hidden="false" customHeight="false" outlineLevel="0" collapsed="false">
      <c r="A92" s="10" t="s">
        <v>440</v>
      </c>
      <c r="B92" s="3" t="s">
        <v>441</v>
      </c>
      <c r="C92" s="4" t="s">
        <v>442</v>
      </c>
      <c r="D92" s="3" t="s">
        <v>447</v>
      </c>
      <c r="E92" s="4" t="s">
        <v>448</v>
      </c>
      <c r="F92" s="3" t="n">
        <v>13</v>
      </c>
      <c r="G92" s="4" t="s">
        <v>449</v>
      </c>
      <c r="H92" s="4" t="s">
        <v>450</v>
      </c>
      <c r="I92" s="3" t="s">
        <v>132</v>
      </c>
      <c r="J92" s="3" t="s">
        <v>19</v>
      </c>
      <c r="K92" s="3" t="s">
        <v>439</v>
      </c>
    </row>
    <row r="93" customFormat="false" ht="15" hidden="false" customHeight="false" outlineLevel="0" collapsed="false">
      <c r="A93" s="10" t="s">
        <v>440</v>
      </c>
      <c r="B93" s="3" t="s">
        <v>451</v>
      </c>
      <c r="C93" s="4" t="s">
        <v>452</v>
      </c>
      <c r="D93" s="3" t="s">
        <v>453</v>
      </c>
      <c r="E93" s="4" t="s">
        <v>454</v>
      </c>
      <c r="F93" s="3" t="n">
        <v>13</v>
      </c>
      <c r="G93" s="4" t="s">
        <v>455</v>
      </c>
      <c r="H93" s="4" t="s">
        <v>456</v>
      </c>
      <c r="I93" s="3" t="s">
        <v>111</v>
      </c>
      <c r="J93" s="3" t="s">
        <v>19</v>
      </c>
      <c r="K93" s="3" t="s">
        <v>28</v>
      </c>
    </row>
    <row r="94" customFormat="false" ht="15" hidden="false" customHeight="false" outlineLevel="0" collapsed="false">
      <c r="A94" s="10" t="s">
        <v>440</v>
      </c>
      <c r="B94" s="3" t="s">
        <v>451</v>
      </c>
      <c r="C94" s="4" t="s">
        <v>452</v>
      </c>
      <c r="D94" s="3" t="s">
        <v>457</v>
      </c>
      <c r="E94" s="4" t="s">
        <v>458</v>
      </c>
      <c r="F94" s="3" t="n">
        <v>13</v>
      </c>
      <c r="G94" s="4" t="s">
        <v>459</v>
      </c>
      <c r="H94" s="4" t="s">
        <v>460</v>
      </c>
      <c r="I94" s="3" t="s">
        <v>461</v>
      </c>
      <c r="J94" s="3" t="s">
        <v>19</v>
      </c>
      <c r="K94" s="3" t="s">
        <v>28</v>
      </c>
    </row>
    <row r="95" customFormat="false" ht="15" hidden="false" customHeight="false" outlineLevel="0" collapsed="false">
      <c r="A95" s="10" t="s">
        <v>440</v>
      </c>
      <c r="B95" s="3" t="s">
        <v>451</v>
      </c>
      <c r="C95" s="4" t="s">
        <v>452</v>
      </c>
      <c r="D95" s="3" t="s">
        <v>462</v>
      </c>
      <c r="E95" s="4" t="s">
        <v>463</v>
      </c>
      <c r="F95" s="3" t="n">
        <v>8</v>
      </c>
      <c r="G95" s="4" t="s">
        <v>464</v>
      </c>
      <c r="H95" s="4" t="s">
        <v>465</v>
      </c>
      <c r="I95" s="3" t="s">
        <v>457</v>
      </c>
      <c r="J95" s="3" t="s">
        <v>19</v>
      </c>
      <c r="K95" s="3" t="s">
        <v>28</v>
      </c>
    </row>
    <row r="96" customFormat="false" ht="15" hidden="false" customHeight="false" outlineLevel="0" collapsed="false">
      <c r="A96" s="10" t="s">
        <v>440</v>
      </c>
      <c r="B96" s="3" t="s">
        <v>451</v>
      </c>
      <c r="C96" s="4" t="s">
        <v>452</v>
      </c>
      <c r="D96" s="3" t="s">
        <v>466</v>
      </c>
      <c r="E96" s="4" t="s">
        <v>467</v>
      </c>
      <c r="F96" s="3" t="n">
        <v>8</v>
      </c>
      <c r="G96" s="4" t="s">
        <v>468</v>
      </c>
      <c r="H96" s="4" t="s">
        <v>469</v>
      </c>
      <c r="I96" s="3" t="s">
        <v>453</v>
      </c>
      <c r="J96" s="3" t="s">
        <v>19</v>
      </c>
      <c r="K96" s="3" t="s">
        <v>28</v>
      </c>
    </row>
    <row r="97" customFormat="false" ht="15" hidden="false" customHeight="false" outlineLevel="0" collapsed="false">
      <c r="A97" s="10" t="s">
        <v>440</v>
      </c>
      <c r="B97" s="3" t="s">
        <v>451</v>
      </c>
      <c r="C97" s="4" t="s">
        <v>452</v>
      </c>
      <c r="D97" s="3" t="s">
        <v>470</v>
      </c>
      <c r="E97" s="4" t="s">
        <v>471</v>
      </c>
      <c r="F97" s="3" t="n">
        <v>5</v>
      </c>
      <c r="G97" s="4" t="s">
        <v>472</v>
      </c>
      <c r="H97" s="4" t="s">
        <v>473</v>
      </c>
      <c r="I97" s="3" t="s">
        <v>453</v>
      </c>
      <c r="J97" s="3" t="s">
        <v>19</v>
      </c>
      <c r="K97" s="3" t="s">
        <v>28</v>
      </c>
    </row>
    <row r="98" customFormat="false" ht="23.85" hidden="false" customHeight="false" outlineLevel="0" collapsed="false">
      <c r="A98" s="10" t="s">
        <v>440</v>
      </c>
      <c r="B98" s="3" t="s">
        <v>451</v>
      </c>
      <c r="C98" s="4" t="s">
        <v>452</v>
      </c>
      <c r="D98" s="3" t="s">
        <v>474</v>
      </c>
      <c r="E98" s="4" t="s">
        <v>475</v>
      </c>
      <c r="F98" s="3" t="n">
        <v>8</v>
      </c>
      <c r="G98" s="4" t="s">
        <v>476</v>
      </c>
      <c r="H98" s="4" t="s">
        <v>477</v>
      </c>
      <c r="I98" s="3" t="s">
        <v>478</v>
      </c>
      <c r="J98" s="3" t="s">
        <v>19</v>
      </c>
      <c r="K98" s="3" t="s">
        <v>28</v>
      </c>
    </row>
    <row r="99" customFormat="false" ht="15" hidden="false" customHeight="false" outlineLevel="0" collapsed="false">
      <c r="A99" s="10" t="s">
        <v>440</v>
      </c>
      <c r="B99" s="3" t="s">
        <v>479</v>
      </c>
      <c r="C99" s="4" t="s">
        <v>480</v>
      </c>
      <c r="D99" s="3" t="s">
        <v>481</v>
      </c>
      <c r="E99" s="4" t="s">
        <v>482</v>
      </c>
      <c r="F99" s="3" t="n">
        <v>8</v>
      </c>
      <c r="G99" s="4" t="s">
        <v>483</v>
      </c>
      <c r="H99" s="4" t="s">
        <v>484</v>
      </c>
      <c r="I99" s="3" t="s">
        <v>122</v>
      </c>
      <c r="J99" s="3" t="s">
        <v>19</v>
      </c>
      <c r="K99" s="3" t="s">
        <v>439</v>
      </c>
    </row>
    <row r="100" customFormat="false" ht="15" hidden="false" customHeight="false" outlineLevel="0" collapsed="false">
      <c r="A100" s="10" t="s">
        <v>440</v>
      </c>
      <c r="B100" s="3" t="s">
        <v>479</v>
      </c>
      <c r="C100" s="4" t="s">
        <v>480</v>
      </c>
      <c r="D100" s="3" t="s">
        <v>485</v>
      </c>
      <c r="E100" s="4" t="s">
        <v>486</v>
      </c>
      <c r="F100" s="3" t="n">
        <v>8</v>
      </c>
      <c r="G100" s="4" t="s">
        <v>487</v>
      </c>
      <c r="H100" s="4" t="s">
        <v>488</v>
      </c>
      <c r="I100" s="3" t="s">
        <v>489</v>
      </c>
      <c r="J100" s="3" t="s">
        <v>19</v>
      </c>
      <c r="K100" s="3" t="s">
        <v>439</v>
      </c>
    </row>
    <row r="101" customFormat="false" ht="15" hidden="false" customHeight="false" outlineLevel="0" collapsed="false">
      <c r="A101" s="10" t="s">
        <v>440</v>
      </c>
      <c r="B101" s="3" t="s">
        <v>479</v>
      </c>
      <c r="C101" s="4" t="s">
        <v>480</v>
      </c>
      <c r="D101" s="3" t="s">
        <v>490</v>
      </c>
      <c r="E101" s="4" t="s">
        <v>491</v>
      </c>
      <c r="F101" s="3" t="n">
        <v>5</v>
      </c>
      <c r="G101" s="4" t="s">
        <v>492</v>
      </c>
      <c r="H101" s="4" t="s">
        <v>493</v>
      </c>
      <c r="I101" s="3" t="s">
        <v>122</v>
      </c>
      <c r="J101" s="3" t="s">
        <v>19</v>
      </c>
      <c r="K101" s="3" t="s">
        <v>439</v>
      </c>
    </row>
    <row r="102" customFormat="false" ht="15" hidden="false" customHeight="false" outlineLevel="0" collapsed="false">
      <c r="A102" s="11" t="s">
        <v>494</v>
      </c>
      <c r="B102" s="3" t="s">
        <v>495</v>
      </c>
      <c r="C102" s="4" t="s">
        <v>496</v>
      </c>
      <c r="D102" s="3" t="s">
        <v>497</v>
      </c>
      <c r="E102" s="4" t="s">
        <v>498</v>
      </c>
      <c r="F102" s="3" t="n">
        <v>8</v>
      </c>
      <c r="G102" s="4" t="s">
        <v>499</v>
      </c>
      <c r="H102" s="4" t="s">
        <v>500</v>
      </c>
      <c r="I102" s="3" t="s">
        <v>156</v>
      </c>
      <c r="J102" s="3" t="s">
        <v>19</v>
      </c>
      <c r="K102" s="3" t="s">
        <v>439</v>
      </c>
    </row>
    <row r="103" customFormat="false" ht="15" hidden="false" customHeight="false" outlineLevel="0" collapsed="false">
      <c r="A103" s="11" t="s">
        <v>494</v>
      </c>
      <c r="B103" s="3" t="s">
        <v>495</v>
      </c>
      <c r="C103" s="4" t="s">
        <v>496</v>
      </c>
      <c r="D103" s="3" t="s">
        <v>501</v>
      </c>
      <c r="E103" s="4" t="s">
        <v>502</v>
      </c>
      <c r="F103" s="3" t="n">
        <v>5</v>
      </c>
      <c r="G103" s="4" t="s">
        <v>503</v>
      </c>
      <c r="H103" s="4" t="s">
        <v>504</v>
      </c>
      <c r="I103" s="3" t="s">
        <v>497</v>
      </c>
      <c r="J103" s="3" t="s">
        <v>19</v>
      </c>
      <c r="K103" s="3" t="s">
        <v>439</v>
      </c>
    </row>
    <row r="104" customFormat="false" ht="23.85" hidden="false" customHeight="false" outlineLevel="0" collapsed="false">
      <c r="A104" s="11" t="s">
        <v>494</v>
      </c>
      <c r="B104" s="3" t="s">
        <v>495</v>
      </c>
      <c r="C104" s="4" t="s">
        <v>496</v>
      </c>
      <c r="D104" s="3" t="s">
        <v>505</v>
      </c>
      <c r="E104" s="4" t="s">
        <v>506</v>
      </c>
      <c r="F104" s="3" t="n">
        <v>5</v>
      </c>
      <c r="G104" s="4" t="s">
        <v>507</v>
      </c>
      <c r="H104" s="4" t="s">
        <v>508</v>
      </c>
      <c r="I104" s="3" t="s">
        <v>359</v>
      </c>
      <c r="J104" s="3" t="s">
        <v>19</v>
      </c>
      <c r="K104" s="3" t="s">
        <v>28</v>
      </c>
    </row>
    <row r="105" customFormat="false" ht="15" hidden="false" customHeight="false" outlineLevel="0" collapsed="false">
      <c r="A105" s="11" t="s">
        <v>494</v>
      </c>
      <c r="B105" s="3" t="s">
        <v>495</v>
      </c>
      <c r="C105" s="4" t="s">
        <v>496</v>
      </c>
      <c r="D105" s="3" t="s">
        <v>509</v>
      </c>
      <c r="E105" s="4" t="s">
        <v>510</v>
      </c>
      <c r="F105" s="3" t="n">
        <v>5</v>
      </c>
      <c r="G105" s="4" t="s">
        <v>511</v>
      </c>
      <c r="H105" s="4" t="s">
        <v>512</v>
      </c>
      <c r="I105" s="3" t="s">
        <v>164</v>
      </c>
      <c r="J105" s="3" t="s">
        <v>19</v>
      </c>
      <c r="K105" s="3" t="s">
        <v>439</v>
      </c>
    </row>
    <row r="106" customFormat="false" ht="15" hidden="false" customHeight="false" outlineLevel="0" collapsed="false">
      <c r="A106" s="11" t="s">
        <v>494</v>
      </c>
      <c r="B106" s="3" t="s">
        <v>495</v>
      </c>
      <c r="C106" s="4" t="s">
        <v>496</v>
      </c>
      <c r="D106" s="3" t="s">
        <v>513</v>
      </c>
      <c r="E106" s="4" t="s">
        <v>514</v>
      </c>
      <c r="F106" s="3" t="n">
        <v>5</v>
      </c>
      <c r="G106" s="4" t="s">
        <v>515</v>
      </c>
      <c r="H106" s="4" t="s">
        <v>500</v>
      </c>
      <c r="I106" s="3" t="s">
        <v>172</v>
      </c>
      <c r="J106" s="3" t="s">
        <v>19</v>
      </c>
      <c r="K106" s="3" t="s">
        <v>28</v>
      </c>
    </row>
    <row r="107" customFormat="false" ht="15" hidden="false" customHeight="false" outlineLevel="0" collapsed="false">
      <c r="A107" s="11" t="s">
        <v>494</v>
      </c>
      <c r="B107" s="3" t="s">
        <v>516</v>
      </c>
      <c r="C107" s="4" t="s">
        <v>517</v>
      </c>
      <c r="D107" s="3" t="s">
        <v>518</v>
      </c>
      <c r="E107" s="4" t="s">
        <v>519</v>
      </c>
      <c r="F107" s="3" t="n">
        <v>8</v>
      </c>
      <c r="G107" s="4" t="s">
        <v>520</v>
      </c>
      <c r="H107" s="4" t="s">
        <v>521</v>
      </c>
      <c r="I107" s="3" t="s">
        <v>100</v>
      </c>
      <c r="J107" s="3" t="s">
        <v>19</v>
      </c>
      <c r="K107" s="3" t="s">
        <v>439</v>
      </c>
    </row>
    <row r="108" customFormat="false" ht="15" hidden="false" customHeight="false" outlineLevel="0" collapsed="false">
      <c r="A108" s="11" t="s">
        <v>494</v>
      </c>
      <c r="B108" s="3" t="s">
        <v>516</v>
      </c>
      <c r="C108" s="4" t="s">
        <v>517</v>
      </c>
      <c r="D108" s="3" t="s">
        <v>522</v>
      </c>
      <c r="E108" s="4" t="s">
        <v>523</v>
      </c>
      <c r="F108" s="3" t="n">
        <v>5</v>
      </c>
      <c r="G108" s="4" t="s">
        <v>524</v>
      </c>
      <c r="H108" s="4" t="s">
        <v>525</v>
      </c>
      <c r="I108" s="3" t="s">
        <v>518</v>
      </c>
      <c r="J108" s="3" t="s">
        <v>19</v>
      </c>
      <c r="K108" s="3" t="s">
        <v>28</v>
      </c>
    </row>
    <row r="109" customFormat="false" ht="15" hidden="false" customHeight="false" outlineLevel="0" collapsed="false">
      <c r="A109" s="11" t="s">
        <v>494</v>
      </c>
      <c r="B109" s="3" t="s">
        <v>526</v>
      </c>
      <c r="C109" s="4" t="s">
        <v>527</v>
      </c>
      <c r="D109" s="3" t="s">
        <v>528</v>
      </c>
      <c r="E109" s="4" t="s">
        <v>529</v>
      </c>
      <c r="F109" s="3" t="n">
        <v>13</v>
      </c>
      <c r="G109" s="4" t="s">
        <v>530</v>
      </c>
      <c r="H109" s="4" t="s">
        <v>531</v>
      </c>
      <c r="I109" s="3" t="s">
        <v>156</v>
      </c>
      <c r="J109" s="3" t="s">
        <v>19</v>
      </c>
      <c r="K109" s="3" t="s">
        <v>28</v>
      </c>
    </row>
    <row r="110" customFormat="false" ht="15" hidden="false" customHeight="false" outlineLevel="0" collapsed="false">
      <c r="A110" s="11" t="s">
        <v>494</v>
      </c>
      <c r="B110" s="3" t="s">
        <v>526</v>
      </c>
      <c r="C110" s="4" t="s">
        <v>527</v>
      </c>
      <c r="D110" s="3" t="s">
        <v>532</v>
      </c>
      <c r="E110" s="4" t="s">
        <v>533</v>
      </c>
      <c r="F110" s="3" t="n">
        <v>5</v>
      </c>
      <c r="G110" s="4" t="s">
        <v>534</v>
      </c>
      <c r="H110" s="4" t="s">
        <v>535</v>
      </c>
      <c r="I110" s="3" t="s">
        <v>528</v>
      </c>
      <c r="J110" s="3" t="s">
        <v>19</v>
      </c>
      <c r="K110" s="3" t="s">
        <v>28</v>
      </c>
    </row>
    <row r="111" customFormat="false" ht="15" hidden="false" customHeight="false" outlineLevel="0" collapsed="false">
      <c r="A111" s="11" t="s">
        <v>494</v>
      </c>
      <c r="B111" s="3" t="s">
        <v>526</v>
      </c>
      <c r="C111" s="4" t="s">
        <v>527</v>
      </c>
      <c r="D111" s="3" t="s">
        <v>536</v>
      </c>
      <c r="E111" s="4" t="s">
        <v>537</v>
      </c>
      <c r="F111" s="3" t="n">
        <v>3</v>
      </c>
      <c r="G111" s="4" t="s">
        <v>538</v>
      </c>
      <c r="H111" s="4" t="s">
        <v>539</v>
      </c>
      <c r="I111" s="3" t="s">
        <v>224</v>
      </c>
      <c r="J111" s="6" t="s">
        <v>79</v>
      </c>
      <c r="K111" s="5" t="s">
        <v>20</v>
      </c>
    </row>
    <row r="112" customFormat="false" ht="15" hidden="false" customHeight="false" outlineLevel="0" collapsed="false">
      <c r="A112" s="11" t="s">
        <v>494</v>
      </c>
      <c r="B112" s="3" t="s">
        <v>540</v>
      </c>
      <c r="C112" s="4" t="s">
        <v>541</v>
      </c>
      <c r="D112" s="3" t="s">
        <v>542</v>
      </c>
      <c r="E112" s="4" t="s">
        <v>543</v>
      </c>
      <c r="F112" s="3" t="n">
        <v>5</v>
      </c>
      <c r="G112" s="4" t="s">
        <v>544</v>
      </c>
      <c r="H112" s="4" t="s">
        <v>545</v>
      </c>
      <c r="I112" s="3" t="s">
        <v>546</v>
      </c>
      <c r="J112" s="6" t="s">
        <v>79</v>
      </c>
      <c r="K112" s="5" t="s">
        <v>20</v>
      </c>
    </row>
    <row r="113" customFormat="false" ht="15" hidden="false" customHeight="false" outlineLevel="0" collapsed="false">
      <c r="A113" s="11" t="s">
        <v>494</v>
      </c>
      <c r="B113" s="3" t="s">
        <v>540</v>
      </c>
      <c r="C113" s="4" t="s">
        <v>541</v>
      </c>
      <c r="D113" s="3" t="s">
        <v>547</v>
      </c>
      <c r="E113" s="4" t="s">
        <v>548</v>
      </c>
      <c r="F113" s="3" t="n">
        <v>3</v>
      </c>
      <c r="G113" s="4" t="s">
        <v>549</v>
      </c>
      <c r="H113" s="4" t="s">
        <v>550</v>
      </c>
      <c r="I113" s="3" t="s">
        <v>542</v>
      </c>
      <c r="J113" s="3" t="s">
        <v>19</v>
      </c>
      <c r="K113" s="3" t="s">
        <v>28</v>
      </c>
    </row>
    <row r="114" customFormat="false" ht="23.85" hidden="false" customHeight="false" outlineLevel="0" collapsed="false">
      <c r="A114" s="12" t="s">
        <v>551</v>
      </c>
      <c r="B114" s="3" t="s">
        <v>552</v>
      </c>
      <c r="C114" s="4" t="s">
        <v>553</v>
      </c>
      <c r="D114" s="3" t="s">
        <v>554</v>
      </c>
      <c r="E114" s="4" t="s">
        <v>555</v>
      </c>
      <c r="F114" s="3" t="n">
        <v>8</v>
      </c>
      <c r="G114" s="4" t="s">
        <v>556</v>
      </c>
      <c r="H114" s="4" t="s">
        <v>557</v>
      </c>
      <c r="I114" s="3" t="s">
        <v>100</v>
      </c>
      <c r="J114" s="3" t="s">
        <v>19</v>
      </c>
      <c r="K114" s="5" t="s">
        <v>20</v>
      </c>
    </row>
    <row r="115" customFormat="false" ht="23.85" hidden="false" customHeight="false" outlineLevel="0" collapsed="false">
      <c r="A115" s="12" t="s">
        <v>551</v>
      </c>
      <c r="B115" s="3" t="s">
        <v>552</v>
      </c>
      <c r="C115" s="4" t="s">
        <v>553</v>
      </c>
      <c r="D115" s="3" t="s">
        <v>558</v>
      </c>
      <c r="E115" s="4" t="s">
        <v>559</v>
      </c>
      <c r="F115" s="3" t="n">
        <v>8</v>
      </c>
      <c r="G115" s="4" t="s">
        <v>560</v>
      </c>
      <c r="H115" s="4" t="s">
        <v>561</v>
      </c>
      <c r="I115" s="3" t="s">
        <v>554</v>
      </c>
      <c r="J115" s="6" t="s">
        <v>79</v>
      </c>
      <c r="K115" s="5" t="s">
        <v>20</v>
      </c>
    </row>
    <row r="116" customFormat="false" ht="23.85" hidden="false" customHeight="false" outlineLevel="0" collapsed="false">
      <c r="A116" s="12" t="s">
        <v>551</v>
      </c>
      <c r="B116" s="3" t="s">
        <v>552</v>
      </c>
      <c r="C116" s="4" t="s">
        <v>553</v>
      </c>
      <c r="D116" s="3" t="s">
        <v>562</v>
      </c>
      <c r="E116" s="4" t="s">
        <v>563</v>
      </c>
      <c r="F116" s="3" t="n">
        <v>8</v>
      </c>
      <c r="G116" s="4" t="s">
        <v>564</v>
      </c>
      <c r="H116" s="4" t="s">
        <v>565</v>
      </c>
      <c r="I116" s="3" t="s">
        <v>566</v>
      </c>
      <c r="J116" s="3" t="s">
        <v>19</v>
      </c>
      <c r="K116" s="3" t="s">
        <v>28</v>
      </c>
    </row>
    <row r="117" customFormat="false" ht="15" hidden="false" customHeight="false" outlineLevel="0" collapsed="false">
      <c r="A117" s="12" t="s">
        <v>551</v>
      </c>
      <c r="B117" s="3" t="s">
        <v>552</v>
      </c>
      <c r="C117" s="4" t="s">
        <v>553</v>
      </c>
      <c r="D117" s="3" t="s">
        <v>567</v>
      </c>
      <c r="E117" s="4" t="s">
        <v>568</v>
      </c>
      <c r="F117" s="3" t="n">
        <v>5</v>
      </c>
      <c r="G117" s="4" t="s">
        <v>569</v>
      </c>
      <c r="H117" s="4" t="s">
        <v>570</v>
      </c>
      <c r="I117" s="3" t="s">
        <v>554</v>
      </c>
      <c r="J117" s="3" t="s">
        <v>19</v>
      </c>
      <c r="K117" s="3" t="s">
        <v>28</v>
      </c>
    </row>
    <row r="118" customFormat="false" ht="15" hidden="false" customHeight="false" outlineLevel="0" collapsed="false">
      <c r="A118" s="12" t="s">
        <v>551</v>
      </c>
      <c r="B118" s="3" t="s">
        <v>571</v>
      </c>
      <c r="C118" s="4" t="s">
        <v>572</v>
      </c>
      <c r="D118" s="3" t="s">
        <v>573</v>
      </c>
      <c r="E118" s="4" t="s">
        <v>574</v>
      </c>
      <c r="F118" s="3" t="n">
        <v>13</v>
      </c>
      <c r="G118" s="4" t="s">
        <v>575</v>
      </c>
      <c r="H118" s="4" t="s">
        <v>576</v>
      </c>
      <c r="I118" s="3" t="s">
        <v>577</v>
      </c>
      <c r="J118" s="3" t="s">
        <v>19</v>
      </c>
      <c r="K118" s="3" t="s">
        <v>28</v>
      </c>
    </row>
    <row r="119" customFormat="false" ht="23.85" hidden="false" customHeight="false" outlineLevel="0" collapsed="false">
      <c r="A119" s="12" t="s">
        <v>551</v>
      </c>
      <c r="B119" s="3" t="s">
        <v>571</v>
      </c>
      <c r="C119" s="4" t="s">
        <v>572</v>
      </c>
      <c r="D119" s="3" t="s">
        <v>578</v>
      </c>
      <c r="E119" s="4" t="s">
        <v>579</v>
      </c>
      <c r="F119" s="3" t="n">
        <v>8</v>
      </c>
      <c r="G119" s="4" t="s">
        <v>580</v>
      </c>
      <c r="H119" s="4" t="s">
        <v>581</v>
      </c>
      <c r="I119" s="3" t="s">
        <v>71</v>
      </c>
      <c r="J119" s="6" t="s">
        <v>79</v>
      </c>
      <c r="K119" s="5" t="s">
        <v>20</v>
      </c>
    </row>
    <row r="120" customFormat="false" ht="15" hidden="false" customHeight="false" outlineLevel="0" collapsed="false">
      <c r="A120" s="12" t="s">
        <v>551</v>
      </c>
      <c r="B120" s="3" t="s">
        <v>571</v>
      </c>
      <c r="C120" s="4" t="s">
        <v>572</v>
      </c>
      <c r="D120" s="3" t="s">
        <v>582</v>
      </c>
      <c r="E120" s="4" t="s">
        <v>583</v>
      </c>
      <c r="F120" s="3" t="n">
        <v>8</v>
      </c>
      <c r="G120" s="4" t="s">
        <v>584</v>
      </c>
      <c r="H120" s="4" t="s">
        <v>585</v>
      </c>
      <c r="I120" s="3" t="s">
        <v>578</v>
      </c>
      <c r="J120" s="6" t="s">
        <v>79</v>
      </c>
      <c r="K120" s="3" t="s">
        <v>28</v>
      </c>
    </row>
    <row r="121" customFormat="false" ht="23.85" hidden="false" customHeight="false" outlineLevel="0" collapsed="false">
      <c r="A121" s="12" t="s">
        <v>551</v>
      </c>
      <c r="B121" s="3" t="s">
        <v>571</v>
      </c>
      <c r="C121" s="4" t="s">
        <v>572</v>
      </c>
      <c r="D121" s="3" t="s">
        <v>586</v>
      </c>
      <c r="E121" s="4" t="s">
        <v>587</v>
      </c>
      <c r="F121" s="3" t="n">
        <v>5</v>
      </c>
      <c r="G121" s="4" t="s">
        <v>588</v>
      </c>
      <c r="H121" s="4" t="s">
        <v>589</v>
      </c>
      <c r="I121" s="3" t="s">
        <v>90</v>
      </c>
      <c r="J121" s="3" t="s">
        <v>19</v>
      </c>
      <c r="K121" s="3" t="s">
        <v>28</v>
      </c>
    </row>
    <row r="122" customFormat="false" ht="15" hidden="false" customHeight="false" outlineLevel="0" collapsed="false">
      <c r="A122" s="12" t="s">
        <v>551</v>
      </c>
      <c r="B122" s="3" t="s">
        <v>590</v>
      </c>
      <c r="C122" s="4" t="s">
        <v>591</v>
      </c>
      <c r="D122" s="3" t="s">
        <v>592</v>
      </c>
      <c r="E122" s="4" t="s">
        <v>593</v>
      </c>
      <c r="F122" s="3" t="n">
        <v>8</v>
      </c>
      <c r="G122" s="4" t="s">
        <v>594</v>
      </c>
      <c r="H122" s="4" t="s">
        <v>595</v>
      </c>
      <c r="I122" s="3" t="s">
        <v>111</v>
      </c>
      <c r="J122" s="3" t="s">
        <v>19</v>
      </c>
      <c r="K122" s="5" t="s">
        <v>20</v>
      </c>
    </row>
    <row r="123" customFormat="false" ht="23.85" hidden="false" customHeight="false" outlineLevel="0" collapsed="false">
      <c r="A123" s="12" t="s">
        <v>551</v>
      </c>
      <c r="B123" s="3" t="s">
        <v>590</v>
      </c>
      <c r="C123" s="4" t="s">
        <v>591</v>
      </c>
      <c r="D123" s="3" t="s">
        <v>596</v>
      </c>
      <c r="E123" s="4" t="s">
        <v>597</v>
      </c>
      <c r="F123" s="3" t="n">
        <v>13</v>
      </c>
      <c r="G123" s="4" t="s">
        <v>598</v>
      </c>
      <c r="H123" s="4" t="s">
        <v>599</v>
      </c>
      <c r="I123" s="3" t="s">
        <v>592</v>
      </c>
      <c r="J123" s="6" t="s">
        <v>79</v>
      </c>
      <c r="K123" s="5" t="s">
        <v>20</v>
      </c>
    </row>
    <row r="124" customFormat="false" ht="15" hidden="false" customHeight="false" outlineLevel="0" collapsed="false">
      <c r="A124" s="12" t="s">
        <v>551</v>
      </c>
      <c r="B124" s="3" t="s">
        <v>590</v>
      </c>
      <c r="C124" s="4" t="s">
        <v>591</v>
      </c>
      <c r="D124" s="3" t="s">
        <v>600</v>
      </c>
      <c r="E124" s="4" t="s">
        <v>601</v>
      </c>
      <c r="F124" s="3" t="n">
        <v>8</v>
      </c>
      <c r="G124" s="4" t="s">
        <v>602</v>
      </c>
      <c r="H124" s="4" t="s">
        <v>603</v>
      </c>
      <c r="I124" s="3" t="s">
        <v>592</v>
      </c>
      <c r="J124" s="3" t="s">
        <v>19</v>
      </c>
      <c r="K124" s="5" t="s">
        <v>20</v>
      </c>
    </row>
    <row r="125" customFormat="false" ht="23.85" hidden="false" customHeight="false" outlineLevel="0" collapsed="false">
      <c r="A125" s="12" t="s">
        <v>551</v>
      </c>
      <c r="B125" s="3" t="s">
        <v>590</v>
      </c>
      <c r="C125" s="4" t="s">
        <v>591</v>
      </c>
      <c r="D125" s="3" t="s">
        <v>604</v>
      </c>
      <c r="E125" s="4" t="s">
        <v>605</v>
      </c>
      <c r="F125" s="3" t="n">
        <v>5</v>
      </c>
      <c r="G125" s="4" t="s">
        <v>606</v>
      </c>
      <c r="H125" s="4" t="s">
        <v>607</v>
      </c>
      <c r="I125" s="3" t="s">
        <v>600</v>
      </c>
      <c r="J125" s="3" t="s">
        <v>19</v>
      </c>
      <c r="K125" s="5" t="s">
        <v>20</v>
      </c>
    </row>
    <row r="126" customFormat="false" ht="15" hidden="false" customHeight="false" outlineLevel="0" collapsed="false">
      <c r="A126" s="12" t="s">
        <v>551</v>
      </c>
      <c r="B126" s="3" t="s">
        <v>590</v>
      </c>
      <c r="C126" s="4" t="s">
        <v>591</v>
      </c>
      <c r="D126" s="3" t="s">
        <v>608</v>
      </c>
      <c r="E126" s="4" t="s">
        <v>609</v>
      </c>
      <c r="F126" s="3" t="n">
        <v>5</v>
      </c>
      <c r="G126" s="4" t="s">
        <v>610</v>
      </c>
      <c r="H126" s="4" t="s">
        <v>611</v>
      </c>
      <c r="I126" s="3" t="s">
        <v>596</v>
      </c>
      <c r="J126" s="3" t="s">
        <v>19</v>
      </c>
      <c r="K126" s="3" t="s">
        <v>28</v>
      </c>
    </row>
    <row r="127" customFormat="false" ht="15" hidden="false" customHeight="false" outlineLevel="0" collapsed="false">
      <c r="A127" s="12" t="s">
        <v>551</v>
      </c>
      <c r="B127" s="3" t="s">
        <v>612</v>
      </c>
      <c r="C127" s="4" t="s">
        <v>613</v>
      </c>
      <c r="D127" s="3" t="s">
        <v>614</v>
      </c>
      <c r="E127" s="4" t="s">
        <v>615</v>
      </c>
      <c r="F127" s="3" t="n">
        <v>8</v>
      </c>
      <c r="G127" s="4" t="s">
        <v>616</v>
      </c>
      <c r="H127" s="4" t="s">
        <v>617</v>
      </c>
      <c r="I127" s="3" t="s">
        <v>592</v>
      </c>
      <c r="J127" s="3" t="s">
        <v>19</v>
      </c>
      <c r="K127" s="3" t="s">
        <v>28</v>
      </c>
    </row>
    <row r="128" customFormat="false" ht="23.85" hidden="false" customHeight="false" outlineLevel="0" collapsed="false">
      <c r="A128" s="12" t="s">
        <v>551</v>
      </c>
      <c r="B128" s="3" t="s">
        <v>612</v>
      </c>
      <c r="C128" s="4" t="s">
        <v>613</v>
      </c>
      <c r="D128" s="3" t="s">
        <v>618</v>
      </c>
      <c r="E128" s="4" t="s">
        <v>619</v>
      </c>
      <c r="F128" s="3" t="n">
        <v>13</v>
      </c>
      <c r="G128" s="4" t="s">
        <v>620</v>
      </c>
      <c r="H128" s="4" t="s">
        <v>621</v>
      </c>
      <c r="I128" s="3" t="s">
        <v>614</v>
      </c>
      <c r="J128" s="6" t="s">
        <v>79</v>
      </c>
      <c r="K128" s="3" t="s">
        <v>28</v>
      </c>
    </row>
    <row r="129" customFormat="false" ht="23.85" hidden="false" customHeight="false" outlineLevel="0" collapsed="false">
      <c r="A129" s="12" t="s">
        <v>551</v>
      </c>
      <c r="B129" s="3" t="s">
        <v>622</v>
      </c>
      <c r="C129" s="4" t="s">
        <v>623</v>
      </c>
      <c r="D129" s="3" t="s">
        <v>624</v>
      </c>
      <c r="E129" s="4" t="s">
        <v>625</v>
      </c>
      <c r="F129" s="3" t="n">
        <v>8</v>
      </c>
      <c r="G129" s="4" t="s">
        <v>626</v>
      </c>
      <c r="H129" s="4" t="s">
        <v>627</v>
      </c>
      <c r="I129" s="3" t="s">
        <v>172</v>
      </c>
      <c r="J129" s="6" t="s">
        <v>79</v>
      </c>
      <c r="K129" s="5" t="s">
        <v>20</v>
      </c>
    </row>
    <row r="130" customFormat="false" ht="23.85" hidden="false" customHeight="false" outlineLevel="0" collapsed="false">
      <c r="A130" s="12" t="s">
        <v>551</v>
      </c>
      <c r="B130" s="3" t="s">
        <v>622</v>
      </c>
      <c r="C130" s="4" t="s">
        <v>623</v>
      </c>
      <c r="D130" s="3" t="s">
        <v>628</v>
      </c>
      <c r="E130" s="4" t="s">
        <v>629</v>
      </c>
      <c r="F130" s="3" t="n">
        <v>5</v>
      </c>
      <c r="G130" s="4" t="s">
        <v>630</v>
      </c>
      <c r="H130" s="4" t="s">
        <v>631</v>
      </c>
      <c r="I130" s="3" t="s">
        <v>71</v>
      </c>
      <c r="J130" s="3" t="s">
        <v>19</v>
      </c>
      <c r="K130" s="3" t="s">
        <v>28</v>
      </c>
    </row>
    <row r="131" customFormat="false" ht="23.85" hidden="false" customHeight="false" outlineLevel="0" collapsed="false">
      <c r="A131" s="11" t="s">
        <v>494</v>
      </c>
      <c r="B131" s="3" t="s">
        <v>632</v>
      </c>
      <c r="C131" s="4" t="s">
        <v>633</v>
      </c>
      <c r="D131" s="3" t="s">
        <v>634</v>
      </c>
      <c r="E131" s="4" t="s">
        <v>635</v>
      </c>
      <c r="F131" s="3" t="n">
        <v>13</v>
      </c>
      <c r="G131" s="4" t="s">
        <v>636</v>
      </c>
      <c r="H131" s="4" t="s">
        <v>637</v>
      </c>
      <c r="I131" s="3" t="s">
        <v>156</v>
      </c>
      <c r="J131" s="3" t="s">
        <v>19</v>
      </c>
      <c r="K131" s="3" t="s">
        <v>28</v>
      </c>
    </row>
    <row r="132" customFormat="false" ht="15" hidden="false" customHeight="false" outlineLevel="0" collapsed="false">
      <c r="A132" s="11" t="s">
        <v>494</v>
      </c>
      <c r="B132" s="3" t="s">
        <v>632</v>
      </c>
      <c r="C132" s="4" t="s">
        <v>633</v>
      </c>
      <c r="D132" s="3" t="s">
        <v>638</v>
      </c>
      <c r="E132" s="4" t="s">
        <v>639</v>
      </c>
      <c r="F132" s="3" t="n">
        <v>8</v>
      </c>
      <c r="G132" s="4" t="s">
        <v>640</v>
      </c>
      <c r="H132" s="4" t="s">
        <v>641</v>
      </c>
      <c r="I132" s="3" t="s">
        <v>634</v>
      </c>
      <c r="J132" s="3" t="s">
        <v>19</v>
      </c>
      <c r="K132" s="3" t="s">
        <v>28</v>
      </c>
    </row>
    <row r="133" customFormat="false" ht="15" hidden="false" customHeight="false" outlineLevel="0" collapsed="false">
      <c r="A133" s="11" t="s">
        <v>494</v>
      </c>
      <c r="B133" s="3" t="s">
        <v>632</v>
      </c>
      <c r="C133" s="4" t="s">
        <v>633</v>
      </c>
      <c r="D133" s="3" t="s">
        <v>642</v>
      </c>
      <c r="E133" s="4" t="s">
        <v>643</v>
      </c>
      <c r="F133" s="3" t="n">
        <v>3</v>
      </c>
      <c r="G133" s="4" t="s">
        <v>644</v>
      </c>
      <c r="H133" s="4" t="s">
        <v>645</v>
      </c>
      <c r="I133" s="3" t="s">
        <v>156</v>
      </c>
      <c r="J133" s="3" t="s">
        <v>19</v>
      </c>
      <c r="K133" s="3" t="s">
        <v>439</v>
      </c>
    </row>
    <row r="134" customFormat="false" ht="15" hidden="false" customHeight="false" outlineLevel="0" collapsed="false">
      <c r="A134" s="11" t="s">
        <v>494</v>
      </c>
      <c r="B134" s="3" t="s">
        <v>646</v>
      </c>
      <c r="C134" s="4" t="s">
        <v>647</v>
      </c>
      <c r="D134" s="3" t="s">
        <v>648</v>
      </c>
      <c r="E134" s="4" t="s">
        <v>649</v>
      </c>
      <c r="F134" s="3" t="n">
        <v>13</v>
      </c>
      <c r="G134" s="4" t="s">
        <v>650</v>
      </c>
      <c r="H134" s="4" t="s">
        <v>651</v>
      </c>
      <c r="I134" s="3" t="s">
        <v>259</v>
      </c>
      <c r="J134" s="6" t="s">
        <v>79</v>
      </c>
      <c r="K134" s="3" t="s">
        <v>439</v>
      </c>
    </row>
    <row r="135" customFormat="false" ht="15" hidden="false" customHeight="false" outlineLevel="0" collapsed="false">
      <c r="A135" s="11" t="s">
        <v>494</v>
      </c>
      <c r="B135" s="3" t="s">
        <v>646</v>
      </c>
      <c r="C135" s="4" t="s">
        <v>647</v>
      </c>
      <c r="D135" s="3" t="s">
        <v>652</v>
      </c>
      <c r="E135" s="4" t="s">
        <v>653</v>
      </c>
      <c r="F135" s="3" t="n">
        <v>8</v>
      </c>
      <c r="G135" s="4" t="s">
        <v>654</v>
      </c>
      <c r="H135" s="4" t="s">
        <v>655</v>
      </c>
      <c r="I135" s="3" t="s">
        <v>648</v>
      </c>
      <c r="J135" s="3" t="s">
        <v>19</v>
      </c>
      <c r="K135" s="3" t="s">
        <v>439</v>
      </c>
    </row>
    <row r="136" customFormat="false" ht="15" hidden="false" customHeight="false" outlineLevel="0" collapsed="false">
      <c r="A136" s="11" t="s">
        <v>494</v>
      </c>
      <c r="B136" s="3" t="s">
        <v>646</v>
      </c>
      <c r="C136" s="4" t="s">
        <v>647</v>
      </c>
      <c r="D136" s="3" t="s">
        <v>656</v>
      </c>
      <c r="E136" s="4" t="s">
        <v>657</v>
      </c>
      <c r="F136" s="3" t="n">
        <v>8</v>
      </c>
      <c r="G136" s="4" t="s">
        <v>658</v>
      </c>
      <c r="H136" s="4" t="s">
        <v>659</v>
      </c>
      <c r="I136" s="3" t="s">
        <v>660</v>
      </c>
      <c r="J136" s="6" t="s">
        <v>79</v>
      </c>
      <c r="K136" s="3" t="s">
        <v>28</v>
      </c>
    </row>
    <row r="137" customFormat="false" ht="15" hidden="false" customHeight="false" outlineLevel="0" collapsed="false">
      <c r="A137" s="11" t="s">
        <v>494</v>
      </c>
      <c r="B137" s="3" t="s">
        <v>646</v>
      </c>
      <c r="C137" s="4" t="s">
        <v>647</v>
      </c>
      <c r="D137" s="3" t="s">
        <v>661</v>
      </c>
      <c r="E137" s="4" t="s">
        <v>662</v>
      </c>
      <c r="F137" s="3" t="n">
        <v>2</v>
      </c>
      <c r="G137" s="4" t="s">
        <v>663</v>
      </c>
      <c r="H137" s="4" t="s">
        <v>664</v>
      </c>
      <c r="I137" s="3" t="s">
        <v>652</v>
      </c>
      <c r="J137" s="3" t="s">
        <v>19</v>
      </c>
      <c r="K137" s="3" t="s">
        <v>439</v>
      </c>
    </row>
  </sheetData>
  <autoFilter ref="A1:K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13" t="s">
        <v>665</v>
      </c>
    </row>
    <row r="3" customFormat="false" ht="15" hidden="false" customHeight="false" outlineLevel="0" collapsed="false">
      <c r="A3" s="14" t="s">
        <v>666</v>
      </c>
      <c r="B3" s="14" t="s">
        <v>667</v>
      </c>
    </row>
    <row r="4" customFormat="false" ht="15" hidden="false" customHeight="false" outlineLevel="0" collapsed="false">
      <c r="A4" s="15" t="s">
        <v>668</v>
      </c>
      <c r="B4" s="16" t="n">
        <v>4</v>
      </c>
    </row>
    <row r="5" customFormat="false" ht="15" hidden="false" customHeight="false" outlineLevel="0" collapsed="false">
      <c r="A5" s="15" t="s">
        <v>669</v>
      </c>
      <c r="B5" s="16" t="n">
        <v>32</v>
      </c>
    </row>
    <row r="6" customFormat="false" ht="15" hidden="false" customHeight="false" outlineLevel="0" collapsed="false">
      <c r="A6" s="15" t="s">
        <v>670</v>
      </c>
      <c r="B6" s="16" t="n">
        <v>2</v>
      </c>
    </row>
    <row r="7" customFormat="false" ht="15" hidden="false" customHeight="false" outlineLevel="0" collapsed="false">
      <c r="A7" s="15" t="s">
        <v>671</v>
      </c>
      <c r="B7" s="15" t="n">
        <f aca="false">SUM(Backlog!F2:F137)</f>
        <v>936</v>
      </c>
    </row>
    <row r="8" customFormat="false" ht="15" hidden="false" customHeight="false" outlineLevel="0" collapsed="false">
      <c r="A8" s="15" t="s">
        <v>672</v>
      </c>
      <c r="B8" s="15" t="n">
        <f aca="false">COUNTA(Backlog!D2:D137)</f>
        <v>136</v>
      </c>
    </row>
    <row r="9" customFormat="false" ht="15" hidden="false" customHeight="false" outlineLevel="0" collapsed="false">
      <c r="A9" s="15" t="s">
        <v>673</v>
      </c>
      <c r="B9" s="15" t="n">
        <f aca="false">ROUNDUP(B7/B5,0)</f>
        <v>30</v>
      </c>
    </row>
    <row r="10" customFormat="false" ht="15" hidden="false" customHeight="false" outlineLevel="0" collapsed="false">
      <c r="A10" s="15" t="s">
        <v>674</v>
      </c>
      <c r="B10" s="15" t="n">
        <f aca="false">B9*B6</f>
        <v>60</v>
      </c>
    </row>
    <row r="11" customFormat="false" ht="15" hidden="false" customHeight="false" outlineLevel="0" collapsed="false">
      <c r="A11" s="15" t="s">
        <v>675</v>
      </c>
      <c r="B11" s="15" t="n">
        <f aca="false">ROUND(B9*B6/4.33,1)</f>
        <v>13.9</v>
      </c>
    </row>
    <row r="13" customFormat="false" ht="15" hidden="false" customHeight="false" outlineLevel="0" collapsed="false">
      <c r="A13" s="14" t="s">
        <v>676</v>
      </c>
      <c r="B13" s="14" t="s">
        <v>5</v>
      </c>
      <c r="C13" s="14" t="s">
        <v>677</v>
      </c>
      <c r="D13" s="14" t="s">
        <v>678</v>
      </c>
    </row>
    <row r="14" customFormat="false" ht="15" hidden="false" customHeight="false" outlineLevel="0" collapsed="false">
      <c r="A14" s="17" t="s">
        <v>11</v>
      </c>
      <c r="B14" s="15" t="n">
        <f aca="false">SUMIF(Backlog!$A$2:$A$137,A14,Backlog!$F$2:$F$137)</f>
        <v>102</v>
      </c>
      <c r="C14" s="15" t="n">
        <f aca="false">COUNTIF(Backlog!$A$2:$A$137,A14)</f>
        <v>20</v>
      </c>
      <c r="D14" s="18" t="n">
        <f aca="false">B14/$B$7</f>
        <v>0.108974358974359</v>
      </c>
    </row>
    <row r="15" customFormat="false" ht="15" hidden="false" customHeight="false" outlineLevel="0" collapsed="false">
      <c r="A15" s="19" t="s">
        <v>108</v>
      </c>
      <c r="B15" s="15" t="n">
        <f aca="false">SUMIF(Backlog!$A$2:$A$137,A15,Backlog!$F$2:$F$137)</f>
        <v>243</v>
      </c>
      <c r="C15" s="15" t="n">
        <f aca="false">COUNTIF(Backlog!$A$2:$A$137,A15)</f>
        <v>34</v>
      </c>
      <c r="D15" s="18" t="n">
        <f aca="false">B15/$B$7</f>
        <v>0.259615384615385</v>
      </c>
    </row>
    <row r="16" customFormat="false" ht="15" hidden="false" customHeight="false" outlineLevel="0" collapsed="false">
      <c r="A16" s="20" t="s">
        <v>271</v>
      </c>
      <c r="B16" s="15" t="n">
        <f aca="false">SUMIF(Backlog!$A$2:$A$137,A16,Backlog!$F$2:$F$137)</f>
        <v>131</v>
      </c>
      <c r="C16" s="15" t="n">
        <f aca="false">COUNTIF(Backlog!$A$2:$A$137,A16)</f>
        <v>19</v>
      </c>
      <c r="D16" s="18" t="n">
        <f aca="false">B16/$B$7</f>
        <v>0.139957264957265</v>
      </c>
    </row>
    <row r="17" customFormat="false" ht="15" hidden="false" customHeight="false" outlineLevel="0" collapsed="false">
      <c r="A17" s="21" t="s">
        <v>363</v>
      </c>
      <c r="B17" s="15" t="n">
        <f aca="false">SUMIF(Backlog!$A$2:$A$137,A17,Backlog!$F$2:$F$137)</f>
        <v>102</v>
      </c>
      <c r="C17" s="15" t="n">
        <f aca="false">COUNTIF(Backlog!$A$2:$A$137,A17)</f>
        <v>16</v>
      </c>
      <c r="D17" s="18" t="n">
        <f aca="false">B17/$B$7</f>
        <v>0.108974358974359</v>
      </c>
    </row>
    <row r="18" customFormat="false" ht="15" hidden="false" customHeight="false" outlineLevel="0" collapsed="false">
      <c r="A18" s="22" t="s">
        <v>440</v>
      </c>
      <c r="B18" s="15" t="n">
        <f aca="false">SUMIF(Backlog!$A$2:$A$137,A18,Backlog!$F$2:$F$137)</f>
        <v>97</v>
      </c>
      <c r="C18" s="15" t="n">
        <f aca="false">COUNTIF(Backlog!$A$2:$A$137,A18)</f>
        <v>11</v>
      </c>
      <c r="D18" s="18" t="n">
        <f aca="false">B18/$B$7</f>
        <v>0.103632478632479</v>
      </c>
    </row>
    <row r="19" customFormat="false" ht="15" hidden="false" customHeight="false" outlineLevel="0" collapsed="false">
      <c r="A19" s="23" t="s">
        <v>551</v>
      </c>
      <c r="B19" s="15" t="n">
        <f aca="false">SUMIF(Backlog!$A$2:$A$137,A19,Backlog!$F$2:$F$137)</f>
        <v>136</v>
      </c>
      <c r="C19" s="15" t="n">
        <f aca="false">COUNTIF(Backlog!$A$2:$A$137,A19)</f>
        <v>17</v>
      </c>
      <c r="D19" s="18" t="n">
        <f aca="false">B19/$B$7</f>
        <v>0.145299145299145</v>
      </c>
    </row>
    <row r="20" customFormat="false" ht="15" hidden="false" customHeight="false" outlineLevel="0" collapsed="false">
      <c r="A20" s="24" t="s">
        <v>494</v>
      </c>
      <c r="B20" s="15" t="n">
        <f aca="false">SUMIF(Backlog!$A$2:$A$137,A20,Backlog!$F$2:$F$137)</f>
        <v>125</v>
      </c>
      <c r="C20" s="15" t="n">
        <f aca="false">COUNTIF(Backlog!$A$2:$A$137,A20)</f>
        <v>19</v>
      </c>
      <c r="D20" s="18" t="n">
        <f aca="false">B20/$B$7</f>
        <v>0.133547008547009</v>
      </c>
    </row>
    <row r="21" customFormat="false" ht="15" hidden="false" customHeight="false" outlineLevel="0" collapsed="false">
      <c r="A21" s="25" t="s">
        <v>679</v>
      </c>
      <c r="B21" s="25" t="n">
        <f aca="false">SUM(B14:B20)</f>
        <v>936</v>
      </c>
      <c r="C21" s="25" t="n">
        <f aca="false">SUM(C14:C20)</f>
        <v>136</v>
      </c>
    </row>
    <row r="23" customFormat="false" ht="15" hidden="false" customHeight="false" outlineLevel="0" collapsed="false">
      <c r="A23" s="15" t="s">
        <v>680</v>
      </c>
      <c r="B23" s="15" t="n">
        <f aca="false">SUMIF(Backlog!$J$2:$J$137,"*Prohibida*",Backlog!$F$2:$F$137)</f>
        <v>261</v>
      </c>
    </row>
    <row r="24" customFormat="false" ht="15" hidden="false" customHeight="false" outlineLevel="0" collapsed="false">
      <c r="A24" s="15" t="s">
        <v>681</v>
      </c>
      <c r="B24" s="15" t="n">
        <f aca="false">SUMIF(Backlog!$K$2:$K$137,"Crítica",Backlog!$F$2:$F$137)</f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26" t="s">
        <v>682</v>
      </c>
      <c r="B1" s="26" t="s">
        <v>683</v>
      </c>
    </row>
    <row r="2" customFormat="false" ht="15" hidden="false" customHeight="false" outlineLevel="0" collapsed="false">
      <c r="A2" s="27" t="s">
        <v>684</v>
      </c>
      <c r="B2" s="27" t="s">
        <v>685</v>
      </c>
    </row>
    <row r="3" customFormat="false" ht="23.85" hidden="false" customHeight="false" outlineLevel="0" collapsed="false">
      <c r="A3" s="27" t="s">
        <v>7</v>
      </c>
      <c r="B3" s="27" t="s">
        <v>686</v>
      </c>
    </row>
    <row r="4" customFormat="false" ht="15" hidden="false" customHeight="false" outlineLevel="0" collapsed="false">
      <c r="A4" s="27" t="s">
        <v>5</v>
      </c>
      <c r="B4" s="27" t="s">
        <v>687</v>
      </c>
    </row>
    <row r="5" customFormat="false" ht="15" hidden="false" customHeight="false" outlineLevel="0" collapsed="false">
      <c r="A5" s="27" t="s">
        <v>688</v>
      </c>
      <c r="B5" s="27" t="s">
        <v>689</v>
      </c>
    </row>
    <row r="6" customFormat="false" ht="15" hidden="false" customHeight="false" outlineLevel="0" collapsed="false">
      <c r="A6" s="27" t="s">
        <v>690</v>
      </c>
      <c r="B6" s="27" t="s">
        <v>691</v>
      </c>
    </row>
    <row r="7" customFormat="false" ht="15" hidden="false" customHeight="false" outlineLevel="0" collapsed="false">
      <c r="A7" s="27" t="s">
        <v>692</v>
      </c>
      <c r="B7" s="27" t="s">
        <v>693</v>
      </c>
    </row>
    <row r="8" customFormat="false" ht="15" hidden="false" customHeight="false" outlineLevel="0" collapsed="false">
      <c r="A8" s="27" t="s">
        <v>694</v>
      </c>
      <c r="B8" s="27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2026-08-10T10:54:54Z</dcterms:created>
  <dc:creator>openpyxl</dc:creator>
  <dc:description/>
  <dc:language>en-US</dc:language>
  <cp:lastModifiedBy/>
  <dcterms:modified xsi:type="dcterms:W3CDTF">2026-08-10T10:54:54Z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